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 Me" sheetId="1" state="visible" r:id="rId1"/>
    <sheet name="Assumptions" sheetId="2" state="visible" r:id="rId2"/>
    <sheet name="Drivers" sheetId="3" state="visible" r:id="rId3"/>
    <sheet name="Historical" sheetId="4" state="visible" r:id="rId4"/>
    <sheet name="Cohorts" sheetId="5" state="visible" r:id="rId5"/>
    <sheet name="Revenue" sheetId="6" state="visible" r:id="rId6"/>
    <sheet name="P&amp;L" sheetId="7" state="visible" r:id="rId7"/>
    <sheet name="Working Capital" sheetId="8" state="visible" r:id="rId8"/>
    <sheet name="Cash Flow" sheetId="9" state="visible" r:id="rId9"/>
    <sheet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w="31750">
              <a:solidFill>
                <a:srgbClr val="007F8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35</v>
      </c>
      <c r="F16" s="8" t="n">
        <v>35</v>
      </c>
      <c r="G16" s="8" t="n">
        <v>35</v>
      </c>
      <c r="H16" s="8" t="n">
        <v>35</v>
      </c>
      <c r="I16" s="8" t="n">
        <v>35</v>
      </c>
      <c r="J16" s="8" t="n">
        <v>35</v>
      </c>
      <c r="K16" s="8" t="n">
        <v>35</v>
      </c>
      <c r="L16" s="8" t="n">
        <v>35</v>
      </c>
      <c r="M16" s="8" t="n">
        <v>35</v>
      </c>
      <c r="N16" s="8" t="n">
        <v>35</v>
      </c>
      <c r="O16" s="8" t="n">
        <v>35</v>
      </c>
      <c r="P16" s="8" t="n">
        <v>35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25</v>
      </c>
      <c r="F17" s="8" t="n">
        <v>25</v>
      </c>
      <c r="G17" s="8" t="n">
        <v>25</v>
      </c>
      <c r="H17" s="8" t="n">
        <v>25</v>
      </c>
      <c r="I17" s="8" t="n">
        <v>25</v>
      </c>
      <c r="J17" s="8" t="n">
        <v>25</v>
      </c>
      <c r="K17" s="8" t="n">
        <v>25</v>
      </c>
      <c r="L17" s="8" t="n">
        <v>25</v>
      </c>
      <c r="M17" s="8" t="n">
        <v>25</v>
      </c>
      <c r="N17" s="8" t="n">
        <v>25</v>
      </c>
      <c r="O17" s="8" t="n">
        <v>25</v>
      </c>
      <c r="P17" s="8" t="n">
        <v>25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5000</v>
      </c>
      <c r="F22" s="9" t="n">
        <v>5000</v>
      </c>
      <c r="G22" s="9" t="n">
        <v>5000</v>
      </c>
      <c r="H22" s="9" t="n">
        <v>5000</v>
      </c>
      <c r="I22" s="9" t="n">
        <v>5000</v>
      </c>
      <c r="J22" s="9" t="n">
        <v>5000</v>
      </c>
      <c r="K22" s="9" t="n">
        <v>5000</v>
      </c>
      <c r="L22" s="9" t="n">
        <v>5000</v>
      </c>
      <c r="M22" s="9" t="n">
        <v>5000</v>
      </c>
      <c r="N22" s="9" t="n">
        <v>5000</v>
      </c>
      <c r="O22" s="9" t="n">
        <v>5000</v>
      </c>
      <c r="P22" s="9" t="n">
        <v>5000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20000</v>
      </c>
      <c r="F23" s="9" t="n">
        <v>20000</v>
      </c>
      <c r="G23" s="9" t="n">
        <v>20000</v>
      </c>
      <c r="H23" s="9" t="n">
        <v>20000</v>
      </c>
      <c r="I23" s="9" t="n">
        <v>20000</v>
      </c>
      <c r="J23" s="9" t="n">
        <v>20000</v>
      </c>
      <c r="K23" s="9" t="n">
        <v>20000</v>
      </c>
      <c r="L23" s="9" t="n">
        <v>20000</v>
      </c>
      <c r="M23" s="9" t="n">
        <v>20000</v>
      </c>
      <c r="N23" s="9" t="n">
        <v>20000</v>
      </c>
      <c r="O23" s="9" t="n">
        <v>20000</v>
      </c>
      <c r="P23" s="9" t="n">
        <v>20000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</v>
      </c>
      <c r="F24" s="7" t="n">
        <v>0.1</v>
      </c>
      <c r="G24" s="7" t="n">
        <v>0.1</v>
      </c>
      <c r="H24" s="7" t="n">
        <v>0.1</v>
      </c>
      <c r="I24" s="7" t="n">
        <v>0.1</v>
      </c>
      <c r="J24" s="7" t="n">
        <v>0.1</v>
      </c>
      <c r="K24" s="7" t="n">
        <v>0.1</v>
      </c>
      <c r="L24" s="7" t="n">
        <v>0.1</v>
      </c>
      <c r="M24" s="7" t="n">
        <v>0.1</v>
      </c>
      <c r="N24" s="7" t="n">
        <v>0.1</v>
      </c>
      <c r="O24" s="7" t="n">
        <v>0.1</v>
      </c>
      <c r="P24" s="7" t="n">
        <v>0.1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  <v/>
      </c>
      <c r="F6" s="12">
        <f>Assumptions!F6</f>
        <v/>
      </c>
      <c r="G6" s="12">
        <f>Assumptions!G6</f>
        <v/>
      </c>
      <c r="H6" s="12">
        <f>Assumptions!H6</f>
        <v/>
      </c>
      <c r="I6" s="12">
        <f>Assumptions!I6</f>
        <v/>
      </c>
      <c r="J6" s="12">
        <f>Assumptions!J6</f>
        <v/>
      </c>
      <c r="K6" s="12">
        <f>Assumptions!K6</f>
        <v/>
      </c>
      <c r="L6" s="12">
        <f>Assumptions!L6</f>
        <v/>
      </c>
      <c r="M6" s="12">
        <f>Assumptions!M6</f>
        <v/>
      </c>
      <c r="N6" s="12">
        <f>Assumptions!N6</f>
        <v/>
      </c>
      <c r="O6" s="12">
        <f>Assumptions!O6</f>
        <v/>
      </c>
      <c r="P6" s="12">
        <f>Assumptions!P6</f>
        <v/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  <v/>
      </c>
      <c r="F7" s="12">
        <f>Assumptions!F7</f>
        <v/>
      </c>
      <c r="G7" s="12">
        <f>Assumptions!G7</f>
        <v/>
      </c>
      <c r="H7" s="12">
        <f>Assumptions!H7</f>
        <v/>
      </c>
      <c r="I7" s="12">
        <f>Assumptions!I7</f>
        <v/>
      </c>
      <c r="J7" s="12">
        <f>Assumptions!J7</f>
        <v/>
      </c>
      <c r="K7" s="12">
        <f>Assumptions!K7</f>
        <v/>
      </c>
      <c r="L7" s="12">
        <f>Assumptions!L7</f>
        <v/>
      </c>
      <c r="M7" s="12">
        <f>Assumptions!M7</f>
        <v/>
      </c>
      <c r="N7" s="12">
        <f>Assumptions!N7</f>
        <v/>
      </c>
      <c r="O7" s="12">
        <f>Assumptions!O7</f>
        <v/>
      </c>
      <c r="P7" s="12">
        <f>Assumptions!P7</f>
        <v/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  <v/>
      </c>
      <c r="F8" s="12">
        <f>Assumptions!F8</f>
        <v/>
      </c>
      <c r="G8" s="12">
        <f>Assumptions!G8</f>
        <v/>
      </c>
      <c r="H8" s="12">
        <f>Assumptions!H8</f>
        <v/>
      </c>
      <c r="I8" s="12">
        <f>Assumptions!I8</f>
        <v/>
      </c>
      <c r="J8" s="12">
        <f>Assumptions!J8</f>
        <v/>
      </c>
      <c r="K8" s="12">
        <f>Assumptions!K8</f>
        <v/>
      </c>
      <c r="L8" s="12">
        <f>Assumptions!L8</f>
        <v/>
      </c>
      <c r="M8" s="12">
        <f>Assumptions!M8</f>
        <v/>
      </c>
      <c r="N8" s="12">
        <f>Assumptions!N8</f>
        <v/>
      </c>
      <c r="O8" s="12">
        <f>Assumptions!O8</f>
        <v/>
      </c>
      <c r="P8" s="12">
        <f>Assumptions!P8</f>
        <v/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  <v/>
      </c>
      <c r="F9" s="14">
        <f>Assumptions!F9</f>
        <v/>
      </c>
      <c r="G9" s="14">
        <f>Assumptions!G9</f>
        <v/>
      </c>
      <c r="H9" s="14">
        <f>Assumptions!H9</f>
        <v/>
      </c>
      <c r="I9" s="14">
        <f>Assumptions!I9</f>
        <v/>
      </c>
      <c r="J9" s="14">
        <f>Assumptions!J9</f>
        <v/>
      </c>
      <c r="K9" s="14">
        <f>Assumptions!K9</f>
        <v/>
      </c>
      <c r="L9" s="14">
        <f>Assumptions!L9</f>
        <v/>
      </c>
      <c r="M9" s="14">
        <f>Assumptions!M9</f>
        <v/>
      </c>
      <c r="N9" s="14">
        <f>Assumptions!N9</f>
        <v/>
      </c>
      <c r="O9" s="14">
        <f>Assumptions!O9</f>
        <v/>
      </c>
      <c r="P9" s="14">
        <f>Assumptions!P9</f>
        <v/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  <v/>
      </c>
      <c r="F10" s="12">
        <f>Assumptions!F10</f>
        <v/>
      </c>
      <c r="G10" s="12">
        <f>Assumptions!G10</f>
        <v/>
      </c>
      <c r="H10" s="12">
        <f>Assumptions!H10</f>
        <v/>
      </c>
      <c r="I10" s="12">
        <f>Assumptions!I10</f>
        <v/>
      </c>
      <c r="J10" s="12">
        <f>Assumptions!J10</f>
        <v/>
      </c>
      <c r="K10" s="12">
        <f>Assumptions!K10</f>
        <v/>
      </c>
      <c r="L10" s="12">
        <f>Assumptions!L10</f>
        <v/>
      </c>
      <c r="M10" s="12">
        <f>Assumptions!M10</f>
        <v/>
      </c>
      <c r="N10" s="12">
        <f>Assumptions!N10</f>
        <v/>
      </c>
      <c r="O10" s="12">
        <f>Assumptions!O10</f>
        <v/>
      </c>
      <c r="P10" s="12">
        <f>Assumptions!P10</f>
        <v/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  <v/>
      </c>
      <c r="F11" s="12">
        <f>Assumptions!F11</f>
        <v/>
      </c>
      <c r="G11" s="12">
        <f>Assumptions!G11</f>
        <v/>
      </c>
      <c r="H11" s="12">
        <f>Assumptions!H11</f>
        <v/>
      </c>
      <c r="I11" s="12">
        <f>Assumptions!I11</f>
        <v/>
      </c>
      <c r="J11" s="12">
        <f>Assumptions!J11</f>
        <v/>
      </c>
      <c r="K11" s="12">
        <f>Assumptions!K11</f>
        <v/>
      </c>
      <c r="L11" s="12">
        <f>Assumptions!L11</f>
        <v/>
      </c>
      <c r="M11" s="12">
        <f>Assumptions!M11</f>
        <v/>
      </c>
      <c r="N11" s="12">
        <f>Assumptions!N11</f>
        <v/>
      </c>
      <c r="O11" s="12">
        <f>Assumptions!O11</f>
        <v/>
      </c>
      <c r="P11" s="12">
        <f>Assumptions!P11</f>
        <v/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  <v/>
      </c>
      <c r="F12" s="14">
        <f>Assumptions!F12</f>
        <v/>
      </c>
      <c r="G12" s="14">
        <f>Assumptions!G12</f>
        <v/>
      </c>
      <c r="H12" s="14">
        <f>Assumptions!H12</f>
        <v/>
      </c>
      <c r="I12" s="14">
        <f>Assumptions!I12</f>
        <v/>
      </c>
      <c r="J12" s="14">
        <f>Assumptions!J12</f>
        <v/>
      </c>
      <c r="K12" s="14">
        <f>Assumptions!K12</f>
        <v/>
      </c>
      <c r="L12" s="14">
        <f>Assumptions!L12</f>
        <v/>
      </c>
      <c r="M12" s="14">
        <f>Assumptions!M12</f>
        <v/>
      </c>
      <c r="N12" s="14">
        <f>Assumptions!N12</f>
        <v/>
      </c>
      <c r="O12" s="14">
        <f>Assumptions!O12</f>
        <v/>
      </c>
      <c r="P12" s="14">
        <f>Assumptions!P12</f>
        <v/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  <v/>
      </c>
      <c r="F13" s="16">
        <f>Assumptions!F13</f>
        <v/>
      </c>
      <c r="G13" s="16">
        <f>Assumptions!G13</f>
        <v/>
      </c>
      <c r="H13" s="16">
        <f>Assumptions!H13</f>
        <v/>
      </c>
      <c r="I13" s="16">
        <f>Assumptions!I13</f>
        <v/>
      </c>
      <c r="J13" s="16">
        <f>Assumptions!J13</f>
        <v/>
      </c>
      <c r="K13" s="16">
        <f>Assumptions!K13</f>
        <v/>
      </c>
      <c r="L13" s="16">
        <f>Assumptions!L13</f>
        <v/>
      </c>
      <c r="M13" s="16">
        <f>Assumptions!M13</f>
        <v/>
      </c>
      <c r="N13" s="16">
        <f>Assumptions!N13</f>
        <v/>
      </c>
      <c r="O13" s="16">
        <f>Assumptions!O13</f>
        <v/>
      </c>
      <c r="P13" s="16">
        <f>Assumptions!P13</f>
        <v/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  <v/>
      </c>
      <c r="F14" s="16">
        <f>Assumptions!F14</f>
        <v/>
      </c>
      <c r="G14" s="16">
        <f>Assumptions!G14</f>
        <v/>
      </c>
      <c r="H14" s="16">
        <f>Assumptions!H14</f>
        <v/>
      </c>
      <c r="I14" s="16">
        <f>Assumptions!I14</f>
        <v/>
      </c>
      <c r="J14" s="16">
        <f>Assumptions!J14</f>
        <v/>
      </c>
      <c r="K14" s="16">
        <f>Assumptions!K14</f>
        <v/>
      </c>
      <c r="L14" s="16">
        <f>Assumptions!L14</f>
        <v/>
      </c>
      <c r="M14" s="16">
        <f>Assumptions!M14</f>
        <v/>
      </c>
      <c r="N14" s="16">
        <f>Assumptions!N14</f>
        <v/>
      </c>
      <c r="O14" s="16">
        <f>Assumptions!O14</f>
        <v/>
      </c>
      <c r="P14" s="16">
        <f>Assumptions!P14</f>
        <v/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  <v/>
      </c>
      <c r="F15" s="12">
        <f>Assumptions!F15</f>
        <v/>
      </c>
      <c r="G15" s="12">
        <f>Assumptions!G15</f>
        <v/>
      </c>
      <c r="H15" s="12">
        <f>Assumptions!H15</f>
        <v/>
      </c>
      <c r="I15" s="12">
        <f>Assumptions!I15</f>
        <v/>
      </c>
      <c r="J15" s="12">
        <f>Assumptions!J15</f>
        <v/>
      </c>
      <c r="K15" s="12">
        <f>Assumptions!K15</f>
        <v/>
      </c>
      <c r="L15" s="12">
        <f>Assumptions!L15</f>
        <v/>
      </c>
      <c r="M15" s="12">
        <f>Assumptions!M15</f>
        <v/>
      </c>
      <c r="N15" s="12">
        <f>Assumptions!N15</f>
        <v/>
      </c>
      <c r="O15" s="12">
        <f>Assumptions!O15</f>
        <v/>
      </c>
      <c r="P15" s="12">
        <f>Assumptions!P15</f>
        <v/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  <v/>
      </c>
      <c r="F16" s="14">
        <f>Assumptions!F16</f>
        <v/>
      </c>
      <c r="G16" s="14">
        <f>Assumptions!G16</f>
        <v/>
      </c>
      <c r="H16" s="14">
        <f>Assumptions!H16</f>
        <v/>
      </c>
      <c r="I16" s="14">
        <f>Assumptions!I16</f>
        <v/>
      </c>
      <c r="J16" s="14">
        <f>Assumptions!J16</f>
        <v/>
      </c>
      <c r="K16" s="14">
        <f>Assumptions!K16</f>
        <v/>
      </c>
      <c r="L16" s="14">
        <f>Assumptions!L16</f>
        <v/>
      </c>
      <c r="M16" s="14">
        <f>Assumptions!M16</f>
        <v/>
      </c>
      <c r="N16" s="14">
        <f>Assumptions!N16</f>
        <v/>
      </c>
      <c r="O16" s="14">
        <f>Assumptions!O16</f>
        <v/>
      </c>
      <c r="P16" s="14">
        <f>Assumptions!P16</f>
        <v/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  <v/>
      </c>
      <c r="F17" s="14">
        <f>Assumptions!F17</f>
        <v/>
      </c>
      <c r="G17" s="14">
        <f>Assumptions!G17</f>
        <v/>
      </c>
      <c r="H17" s="14">
        <f>Assumptions!H17</f>
        <v/>
      </c>
      <c r="I17" s="14">
        <f>Assumptions!I17</f>
        <v/>
      </c>
      <c r="J17" s="14">
        <f>Assumptions!J17</f>
        <v/>
      </c>
      <c r="K17" s="14">
        <f>Assumptions!K17</f>
        <v/>
      </c>
      <c r="L17" s="14">
        <f>Assumptions!L17</f>
        <v/>
      </c>
      <c r="M17" s="14">
        <f>Assumptions!M17</f>
        <v/>
      </c>
      <c r="N17" s="14">
        <f>Assumptions!N17</f>
        <v/>
      </c>
      <c r="O17" s="14">
        <f>Assumptions!O17</f>
        <v/>
      </c>
      <c r="P17" s="14">
        <f>Assumptions!P17</f>
        <v/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  <v/>
      </c>
      <c r="F18" s="12">
        <f>Assumptions!F18</f>
        <v/>
      </c>
      <c r="G18" s="12">
        <f>Assumptions!G18</f>
        <v/>
      </c>
      <c r="H18" s="12">
        <f>Assumptions!H18</f>
        <v/>
      </c>
      <c r="I18" s="12">
        <f>Assumptions!I18</f>
        <v/>
      </c>
      <c r="J18" s="12">
        <f>Assumptions!J18</f>
        <v/>
      </c>
      <c r="K18" s="12">
        <f>Assumptions!K18</f>
        <v/>
      </c>
      <c r="L18" s="12">
        <f>Assumptions!L18</f>
        <v/>
      </c>
      <c r="M18" s="12">
        <f>Assumptions!M18</f>
        <v/>
      </c>
      <c r="N18" s="12">
        <f>Assumptions!N18</f>
        <v/>
      </c>
      <c r="O18" s="12">
        <f>Assumptions!O18</f>
        <v/>
      </c>
      <c r="P18" s="12">
        <f>Assumptions!P18</f>
        <v/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  <v/>
      </c>
      <c r="F19" s="12">
        <f>Assumptions!F19</f>
        <v/>
      </c>
      <c r="G19" s="12">
        <f>Assumptions!G19</f>
        <v/>
      </c>
      <c r="H19" s="12">
        <f>Assumptions!H19</f>
        <v/>
      </c>
      <c r="I19" s="12">
        <f>Assumptions!I19</f>
        <v/>
      </c>
      <c r="J19" s="12">
        <f>Assumptions!J19</f>
        <v/>
      </c>
      <c r="K19" s="12">
        <f>Assumptions!K19</f>
        <v/>
      </c>
      <c r="L19" s="12">
        <f>Assumptions!L19</f>
        <v/>
      </c>
      <c r="M19" s="12">
        <f>Assumptions!M19</f>
        <v/>
      </c>
      <c r="N19" s="12">
        <f>Assumptions!N19</f>
        <v/>
      </c>
      <c r="O19" s="12">
        <f>Assumptions!O19</f>
        <v/>
      </c>
      <c r="P19" s="12">
        <f>Assumptions!P19</f>
        <v/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  <v/>
      </c>
      <c r="F20" s="12">
        <f>Assumptions!F20</f>
        <v/>
      </c>
      <c r="G20" s="12">
        <f>Assumptions!G20</f>
        <v/>
      </c>
      <c r="H20" s="12">
        <f>Assumptions!H20</f>
        <v/>
      </c>
      <c r="I20" s="12">
        <f>Assumptions!I20</f>
        <v/>
      </c>
      <c r="J20" s="12">
        <f>Assumptions!J20</f>
        <v/>
      </c>
      <c r="K20" s="12">
        <f>Assumptions!K20</f>
        <v/>
      </c>
      <c r="L20" s="12">
        <f>Assumptions!L20</f>
        <v/>
      </c>
      <c r="M20" s="12">
        <f>Assumptions!M20</f>
        <v/>
      </c>
      <c r="N20" s="12">
        <f>Assumptions!N20</f>
        <v/>
      </c>
      <c r="O20" s="12">
        <f>Assumptions!O20</f>
        <v/>
      </c>
      <c r="P20" s="12">
        <f>Assumptions!P20</f>
        <v/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  <v/>
      </c>
      <c r="F21" s="16">
        <f>Assumptions!F21</f>
        <v/>
      </c>
      <c r="G21" s="16">
        <f>Assumptions!G21</f>
        <v/>
      </c>
      <c r="H21" s="16">
        <f>Assumptions!H21</f>
        <v/>
      </c>
      <c r="I21" s="16">
        <f>Assumptions!I21</f>
        <v/>
      </c>
      <c r="J21" s="16">
        <f>Assumptions!J21</f>
        <v/>
      </c>
      <c r="K21" s="16">
        <f>Assumptions!K21</f>
        <v/>
      </c>
      <c r="L21" s="16">
        <f>Assumptions!L21</f>
        <v/>
      </c>
      <c r="M21" s="16">
        <f>Assumptions!M21</f>
        <v/>
      </c>
      <c r="N21" s="16">
        <f>Assumptions!N21</f>
        <v/>
      </c>
      <c r="O21" s="16">
        <f>Assumptions!O21</f>
        <v/>
      </c>
      <c r="P21" s="16">
        <f>Assumptions!P21</f>
        <v/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  <v/>
      </c>
      <c r="F22" s="16">
        <f>Assumptions!F22</f>
        <v/>
      </c>
      <c r="G22" s="16">
        <f>Assumptions!G22</f>
        <v/>
      </c>
      <c r="H22" s="16">
        <f>Assumptions!H22</f>
        <v/>
      </c>
      <c r="I22" s="16">
        <f>Assumptions!I22</f>
        <v/>
      </c>
      <c r="J22" s="16">
        <f>Assumptions!J22</f>
        <v/>
      </c>
      <c r="K22" s="16">
        <f>Assumptions!K22</f>
        <v/>
      </c>
      <c r="L22" s="16">
        <f>Assumptions!L22</f>
        <v/>
      </c>
      <c r="M22" s="16">
        <f>Assumptions!M22</f>
        <v/>
      </c>
      <c r="N22" s="16">
        <f>Assumptions!N22</f>
        <v/>
      </c>
      <c r="O22" s="16">
        <f>Assumptions!O22</f>
        <v/>
      </c>
      <c r="P22" s="16">
        <f>Assumptions!P22</f>
        <v/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  <v/>
      </c>
      <c r="F23" s="16">
        <f>Assumptions!F23</f>
        <v/>
      </c>
      <c r="G23" s="16">
        <f>Assumptions!G23</f>
        <v/>
      </c>
      <c r="H23" s="16">
        <f>Assumptions!H23</f>
        <v/>
      </c>
      <c r="I23" s="16">
        <f>Assumptions!I23</f>
        <v/>
      </c>
      <c r="J23" s="16">
        <f>Assumptions!J23</f>
        <v/>
      </c>
      <c r="K23" s="16">
        <f>Assumptions!K23</f>
        <v/>
      </c>
      <c r="L23" s="16">
        <f>Assumptions!L23</f>
        <v/>
      </c>
      <c r="M23" s="16">
        <f>Assumptions!M23</f>
        <v/>
      </c>
      <c r="N23" s="16">
        <f>Assumptions!N23</f>
        <v/>
      </c>
      <c r="O23" s="16">
        <f>Assumptions!O23</f>
        <v/>
      </c>
      <c r="P23" s="16">
        <f>Assumptions!P23</f>
        <v/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  <v/>
      </c>
      <c r="F24" s="12">
        <f>Assumptions!F24</f>
        <v/>
      </c>
      <c r="G24" s="12">
        <f>Assumptions!G24</f>
        <v/>
      </c>
      <c r="H24" s="12">
        <f>Assumptions!H24</f>
        <v/>
      </c>
      <c r="I24" s="12">
        <f>Assumptions!I24</f>
        <v/>
      </c>
      <c r="J24" s="12">
        <f>Assumptions!J24</f>
        <v/>
      </c>
      <c r="K24" s="12">
        <f>Assumptions!K24</f>
        <v/>
      </c>
      <c r="L24" s="12">
        <f>Assumptions!L24</f>
        <v/>
      </c>
      <c r="M24" s="12">
        <f>Assumptions!M24</f>
        <v/>
      </c>
      <c r="N24" s="12">
        <f>Assumptions!N24</f>
        <v/>
      </c>
      <c r="O24" s="12">
        <f>Assumptions!O24</f>
        <v/>
      </c>
      <c r="P24" s="12">
        <f>Assumptions!P24</f>
        <v/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  <v/>
      </c>
      <c r="F25" s="18">
        <f>Assumptions!F25</f>
        <v/>
      </c>
      <c r="G25" s="18">
        <f>Assumptions!G25</f>
        <v/>
      </c>
      <c r="H25" s="18">
        <f>Assumptions!H25</f>
        <v/>
      </c>
      <c r="I25" s="18">
        <f>Assumptions!I25</f>
        <v/>
      </c>
      <c r="J25" s="18">
        <f>Assumptions!J25</f>
        <v/>
      </c>
      <c r="K25" s="18">
        <f>Assumptions!K25</f>
        <v/>
      </c>
      <c r="L25" s="18">
        <f>Assumptions!L25</f>
        <v/>
      </c>
      <c r="M25" s="18">
        <f>Assumptions!M25</f>
        <v/>
      </c>
      <c r="N25" s="18">
        <f>Assumptions!N25</f>
        <v/>
      </c>
      <c r="O25" s="18">
        <f>Assumptions!O25</f>
        <v/>
      </c>
      <c r="P25" s="18">
        <f>Assumptions!P25</f>
        <v/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29670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31500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>
        <f>Drivers!E12*(1-Drivers!E10)</f>
        <v/>
      </c>
      <c r="F8" s="22">
        <f>E8*(1-Drivers!F10)</f>
        <v/>
      </c>
      <c r="G8" s="22">
        <f>F8*(1-Drivers!G10)</f>
        <v/>
      </c>
      <c r="H8" s="22">
        <f>G8*(1-Drivers!H10)</f>
        <v/>
      </c>
      <c r="I8" s="22">
        <f>H8*(1-Drivers!I10)</f>
        <v/>
      </c>
      <c r="J8" s="22">
        <f>I8*(1-Drivers!J10)</f>
        <v/>
      </c>
      <c r="K8" s="22">
        <f>J8*(1-Drivers!K10)</f>
        <v/>
      </c>
      <c r="L8" s="22">
        <f>K8*(1-Drivers!L10)</f>
        <v/>
      </c>
      <c r="M8" s="22">
        <f>L8*(1-Drivers!M10)</f>
        <v/>
      </c>
      <c r="N8" s="22">
        <f>M8*(1-Drivers!N10)</f>
        <v/>
      </c>
      <c r="O8" s="22">
        <f>N8*(1-Drivers!O10)</f>
        <v/>
      </c>
      <c r="P8" s="22">
        <f>O8*(1-Drivers!P10)</f>
        <v/>
      </c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>
        <f>Drivers!E9</f>
        <v/>
      </c>
      <c r="F9" s="22">
        <f>E9*(1-Drivers!F11)</f>
        <v/>
      </c>
      <c r="G9" s="22">
        <f>F9*(1-Drivers!G11)</f>
        <v/>
      </c>
      <c r="H9" s="22">
        <f>G9*(1-Drivers!H11)</f>
        <v/>
      </c>
      <c r="I9" s="22">
        <f>H9*(1-Drivers!I11)</f>
        <v/>
      </c>
      <c r="J9" s="22">
        <f>I9*(1-Drivers!J11)</f>
        <v/>
      </c>
      <c r="K9" s="22">
        <f>J9*(1-Drivers!K11)</f>
        <v/>
      </c>
      <c r="L9" s="22">
        <f>K9*(1-Drivers!L11)</f>
        <v/>
      </c>
      <c r="M9" s="22">
        <f>L9*(1-Drivers!M11)</f>
        <v/>
      </c>
      <c r="N9" s="22">
        <f>M9*(1-Drivers!N11)</f>
        <v/>
      </c>
      <c r="O9" s="22">
        <f>N9*(1-Drivers!O11)</f>
        <v/>
      </c>
      <c r="P9" s="22">
        <f>O9*(1-Drivers!P11)</f>
        <v/>
      </c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>
        <f>0</f>
        <v/>
      </c>
      <c r="F10" s="22">
        <f>Drivers!F9</f>
        <v/>
      </c>
      <c r="G10" s="22">
        <f>F10*(1-Drivers!G11)</f>
        <v/>
      </c>
      <c r="H10" s="22">
        <f>G10*(1-Drivers!H11)</f>
        <v/>
      </c>
      <c r="I10" s="22">
        <f>H10*(1-Drivers!I11)</f>
        <v/>
      </c>
      <c r="J10" s="22">
        <f>I10*(1-Drivers!J11)</f>
        <v/>
      </c>
      <c r="K10" s="22">
        <f>J10*(1-Drivers!K11)</f>
        <v/>
      </c>
      <c r="L10" s="22">
        <f>K10*(1-Drivers!L11)</f>
        <v/>
      </c>
      <c r="M10" s="22">
        <f>L10*(1-Drivers!M11)</f>
        <v/>
      </c>
      <c r="N10" s="22">
        <f>M10*(1-Drivers!N11)</f>
        <v/>
      </c>
      <c r="O10" s="22">
        <f>N10*(1-Drivers!O11)</f>
        <v/>
      </c>
      <c r="P10" s="22">
        <f>O10*(1-Drivers!P11)</f>
        <v/>
      </c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>
        <f>0</f>
        <v/>
      </c>
      <c r="F11" s="22">
        <f>0</f>
        <v/>
      </c>
      <c r="G11" s="22">
        <f>Drivers!G9</f>
        <v/>
      </c>
      <c r="H11" s="22">
        <f>G11*(1-Drivers!H11)</f>
        <v/>
      </c>
      <c r="I11" s="22">
        <f>H11*(1-Drivers!I11)</f>
        <v/>
      </c>
      <c r="J11" s="22">
        <f>I11*(1-Drivers!J11)</f>
        <v/>
      </c>
      <c r="K11" s="22">
        <f>J11*(1-Drivers!K11)</f>
        <v/>
      </c>
      <c r="L11" s="22">
        <f>K11*(1-Drivers!L11)</f>
        <v/>
      </c>
      <c r="M11" s="22">
        <f>L11*(1-Drivers!M11)</f>
        <v/>
      </c>
      <c r="N11" s="22">
        <f>M11*(1-Drivers!N11)</f>
        <v/>
      </c>
      <c r="O11" s="22">
        <f>N11*(1-Drivers!O11)</f>
        <v/>
      </c>
      <c r="P11" s="22">
        <f>O11*(1-Drivers!P11)</f>
        <v/>
      </c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>
        <f>0</f>
        <v/>
      </c>
      <c r="F12" s="22">
        <f>0</f>
        <v/>
      </c>
      <c r="G12" s="22">
        <f>0</f>
        <v/>
      </c>
      <c r="H12" s="22">
        <f>Drivers!H9</f>
        <v/>
      </c>
      <c r="I12" s="22">
        <f>H12*(1-Drivers!I11)</f>
        <v/>
      </c>
      <c r="J12" s="22">
        <f>I12*(1-Drivers!J11)</f>
        <v/>
      </c>
      <c r="K12" s="22">
        <f>J12*(1-Drivers!K11)</f>
        <v/>
      </c>
      <c r="L12" s="22">
        <f>K12*(1-Drivers!L11)</f>
        <v/>
      </c>
      <c r="M12" s="22">
        <f>L12*(1-Drivers!M11)</f>
        <v/>
      </c>
      <c r="N12" s="22">
        <f>M12*(1-Drivers!N11)</f>
        <v/>
      </c>
      <c r="O12" s="22">
        <f>N12*(1-Drivers!O11)</f>
        <v/>
      </c>
      <c r="P12" s="22">
        <f>O12*(1-Drivers!P11)</f>
        <v/>
      </c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>
        <f>0</f>
        <v/>
      </c>
      <c r="F13" s="22">
        <f>0</f>
        <v/>
      </c>
      <c r="G13" s="22">
        <f>0</f>
        <v/>
      </c>
      <c r="H13" s="22">
        <f>0</f>
        <v/>
      </c>
      <c r="I13" s="22">
        <f>Drivers!I9</f>
        <v/>
      </c>
      <c r="J13" s="22">
        <f>I13*(1-Drivers!J11)</f>
        <v/>
      </c>
      <c r="K13" s="22">
        <f>J13*(1-Drivers!K11)</f>
        <v/>
      </c>
      <c r="L13" s="22">
        <f>K13*(1-Drivers!L11)</f>
        <v/>
      </c>
      <c r="M13" s="22">
        <f>L13*(1-Drivers!M11)</f>
        <v/>
      </c>
      <c r="N13" s="22">
        <f>M13*(1-Drivers!N11)</f>
        <v/>
      </c>
      <c r="O13" s="22">
        <f>N13*(1-Drivers!O11)</f>
        <v/>
      </c>
      <c r="P13" s="22">
        <f>O13*(1-Drivers!P11)</f>
        <v/>
      </c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>
        <f>0</f>
        <v/>
      </c>
      <c r="F14" s="22">
        <f>0</f>
        <v/>
      </c>
      <c r="G14" s="22">
        <f>0</f>
        <v/>
      </c>
      <c r="H14" s="22">
        <f>0</f>
        <v/>
      </c>
      <c r="I14" s="22">
        <f>0</f>
        <v/>
      </c>
      <c r="J14" s="22">
        <f>Drivers!J9</f>
        <v/>
      </c>
      <c r="K14" s="22">
        <f>J14*(1-Drivers!K11)</f>
        <v/>
      </c>
      <c r="L14" s="22">
        <f>K14*(1-Drivers!L11)</f>
        <v/>
      </c>
      <c r="M14" s="22">
        <f>L14*(1-Drivers!M11)</f>
        <v/>
      </c>
      <c r="N14" s="22">
        <f>M14*(1-Drivers!N11)</f>
        <v/>
      </c>
      <c r="O14" s="22">
        <f>N14*(1-Drivers!O11)</f>
        <v/>
      </c>
      <c r="P14" s="22">
        <f>O14*(1-Drivers!P11)</f>
        <v/>
      </c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>
        <f>0</f>
        <v/>
      </c>
      <c r="F15" s="22">
        <f>0</f>
        <v/>
      </c>
      <c r="G15" s="22">
        <f>0</f>
        <v/>
      </c>
      <c r="H15" s="22">
        <f>0</f>
        <v/>
      </c>
      <c r="I15" s="22">
        <f>0</f>
        <v/>
      </c>
      <c r="J15" s="22">
        <f>0</f>
        <v/>
      </c>
      <c r="K15" s="22">
        <f>Drivers!K9</f>
        <v/>
      </c>
      <c r="L15" s="22">
        <f>K15*(1-Drivers!L11)</f>
        <v/>
      </c>
      <c r="M15" s="22">
        <f>L15*(1-Drivers!M11)</f>
        <v/>
      </c>
      <c r="N15" s="22">
        <f>M15*(1-Drivers!N11)</f>
        <v/>
      </c>
      <c r="O15" s="22">
        <f>N15*(1-Drivers!O11)</f>
        <v/>
      </c>
      <c r="P15" s="22">
        <f>O15*(1-Drivers!P11)</f>
        <v/>
      </c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>
        <f>0</f>
        <v/>
      </c>
      <c r="F16" s="22">
        <f>0</f>
        <v/>
      </c>
      <c r="G16" s="22">
        <f>0</f>
        <v/>
      </c>
      <c r="H16" s="22">
        <f>0</f>
        <v/>
      </c>
      <c r="I16" s="22">
        <f>0</f>
        <v/>
      </c>
      <c r="J16" s="22">
        <f>0</f>
        <v/>
      </c>
      <c r="K16" s="22">
        <f>0</f>
        <v/>
      </c>
      <c r="L16" s="22">
        <f>Drivers!L9</f>
        <v/>
      </c>
      <c r="M16" s="22">
        <f>L16*(1-Drivers!M11)</f>
        <v/>
      </c>
      <c r="N16" s="22">
        <f>M16*(1-Drivers!N11)</f>
        <v/>
      </c>
      <c r="O16" s="22">
        <f>N16*(1-Drivers!O11)</f>
        <v/>
      </c>
      <c r="P16" s="22">
        <f>O16*(1-Drivers!P11)</f>
        <v/>
      </c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>
        <f>0</f>
        <v/>
      </c>
      <c r="F17" s="22">
        <f>0</f>
        <v/>
      </c>
      <c r="G17" s="22">
        <f>0</f>
        <v/>
      </c>
      <c r="H17" s="22">
        <f>0</f>
        <v/>
      </c>
      <c r="I17" s="22">
        <f>0</f>
        <v/>
      </c>
      <c r="J17" s="22">
        <f>0</f>
        <v/>
      </c>
      <c r="K17" s="22">
        <f>0</f>
        <v/>
      </c>
      <c r="L17" s="22">
        <f>0</f>
        <v/>
      </c>
      <c r="M17" s="22">
        <f>Drivers!M9</f>
        <v/>
      </c>
      <c r="N17" s="22">
        <f>M17*(1-Drivers!N11)</f>
        <v/>
      </c>
      <c r="O17" s="22">
        <f>N17*(1-Drivers!O11)</f>
        <v/>
      </c>
      <c r="P17" s="22">
        <f>O17*(1-Drivers!P11)</f>
        <v/>
      </c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>
        <f>0</f>
        <v/>
      </c>
      <c r="F18" s="22">
        <f>0</f>
        <v/>
      </c>
      <c r="G18" s="22">
        <f>0</f>
        <v/>
      </c>
      <c r="H18" s="22">
        <f>0</f>
        <v/>
      </c>
      <c r="I18" s="22">
        <f>0</f>
        <v/>
      </c>
      <c r="J18" s="22">
        <f>0</f>
        <v/>
      </c>
      <c r="K18" s="22">
        <f>0</f>
        <v/>
      </c>
      <c r="L18" s="22">
        <f>0</f>
        <v/>
      </c>
      <c r="M18" s="22">
        <f>0</f>
        <v/>
      </c>
      <c r="N18" s="22">
        <f>Drivers!N9</f>
        <v/>
      </c>
      <c r="O18" s="22">
        <f>N18*(1-Drivers!O11)</f>
        <v/>
      </c>
      <c r="P18" s="22">
        <f>O18*(1-Drivers!P11)</f>
        <v/>
      </c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>
        <f>0</f>
        <v/>
      </c>
      <c r="F19" s="22">
        <f>0</f>
        <v/>
      </c>
      <c r="G19" s="22">
        <f>0</f>
        <v/>
      </c>
      <c r="H19" s="22">
        <f>0</f>
        <v/>
      </c>
      <c r="I19" s="22">
        <f>0</f>
        <v/>
      </c>
      <c r="J19" s="22">
        <f>0</f>
        <v/>
      </c>
      <c r="K19" s="22">
        <f>0</f>
        <v/>
      </c>
      <c r="L19" s="22">
        <f>0</f>
        <v/>
      </c>
      <c r="M19" s="22">
        <f>0</f>
        <v/>
      </c>
      <c r="N19" s="22">
        <f>0</f>
        <v/>
      </c>
      <c r="O19" s="22">
        <f>Drivers!O9</f>
        <v/>
      </c>
      <c r="P19" s="22">
        <f>O19*(1-Drivers!P11)</f>
        <v/>
      </c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>
        <f>0</f>
        <v/>
      </c>
      <c r="F20" s="22">
        <f>0</f>
        <v/>
      </c>
      <c r="G20" s="22">
        <f>0</f>
        <v/>
      </c>
      <c r="H20" s="22">
        <f>0</f>
        <v/>
      </c>
      <c r="I20" s="22">
        <f>0</f>
        <v/>
      </c>
      <c r="J20" s="22">
        <f>0</f>
        <v/>
      </c>
      <c r="K20" s="22">
        <f>0</f>
        <v/>
      </c>
      <c r="L20" s="22">
        <f>0</f>
        <v/>
      </c>
      <c r="M20" s="22">
        <f>0</f>
        <v/>
      </c>
      <c r="N20" s="22">
        <f>0</f>
        <v/>
      </c>
      <c r="O20" s="22">
        <f>0</f>
        <v/>
      </c>
      <c r="P20" s="22">
        <f>Drivers!P9</f>
        <v/>
      </c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>
        <f>E8*Drivers!E13*(1+Drivers!E15)</f>
        <v/>
      </c>
      <c r="F25" s="23">
        <f>F8*Drivers!E13*(1+Drivers!E15)</f>
        <v/>
      </c>
      <c r="G25" s="23">
        <f>G8*Drivers!E13*(1+Drivers!E15)</f>
        <v/>
      </c>
      <c r="H25" s="23">
        <f>H8*Drivers!E13*(1+Drivers!E15)*(1+Drivers!F15)*(1+Drivers!G15)*(1+Drivers!H15)</f>
        <v/>
      </c>
      <c r="I25" s="23">
        <f>I8*Drivers!E13*(1+Drivers!E15)*(1+Drivers!F15)*(1+Drivers!G15)*(1+Drivers!H15)</f>
        <v/>
      </c>
      <c r="J25" s="23">
        <f>J8*Drivers!E13*(1+Drivers!E15)*(1+Drivers!F15)*(1+Drivers!G15)*(1+Drivers!H15)</f>
        <v/>
      </c>
      <c r="K25" s="23">
        <f>K8*Drivers!E13*(1+Drivers!E15)*(1+Drivers!F15)*(1+Drivers!G15)*(1+Drivers!H15)*(1+Drivers!I15)*(1+Drivers!J15)*(1+Drivers!K15)</f>
        <v/>
      </c>
      <c r="L25" s="23">
        <f>L8*Drivers!E13*(1+Drivers!E15)*(1+Drivers!F15)*(1+Drivers!G15)*(1+Drivers!H15)*(1+Drivers!I15)*(1+Drivers!J15)*(1+Drivers!K15)</f>
        <v/>
      </c>
      <c r="M25" s="23">
        <f>M8*Drivers!E13*(1+Drivers!E15)*(1+Drivers!F15)*(1+Drivers!G15)*(1+Drivers!H15)*(1+Drivers!I15)*(1+Drivers!J15)*(1+Drivers!K15)</f>
        <v/>
      </c>
      <c r="N25" s="23">
        <f>N8*Drivers!E13*(1+Drivers!E15)*(1+Drivers!F15)*(1+Drivers!G15)*(1+Drivers!H15)*(1+Drivers!I15)*(1+Drivers!J15)*(1+Drivers!K15)*(1+Drivers!L15)*(1+Drivers!M15)*(1+Drivers!N15)</f>
        <v/>
      </c>
      <c r="O25" s="23">
        <f>O8*Drivers!E13*(1+Drivers!E15)*(1+Drivers!F15)*(1+Drivers!G15)*(1+Drivers!H15)*(1+Drivers!I15)*(1+Drivers!J15)*(1+Drivers!K15)*(1+Drivers!L15)*(1+Drivers!M15)*(1+Drivers!N15)</f>
        <v/>
      </c>
      <c r="P25" s="23">
        <f>P8*Drivers!E13*(1+Drivers!E15)*(1+Drivers!F15)*(1+Drivers!G15)*(1+Drivers!H15)*(1+Drivers!I15)*(1+Drivers!J15)*(1+Drivers!K15)*(1+Drivers!L15)*(1+Drivers!M15)*(1+Drivers!N15)</f>
        <v/>
      </c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>
        <f>E9*Drivers!E14</f>
        <v/>
      </c>
      <c r="F26" s="23">
        <f>F9*Drivers!E14</f>
        <v/>
      </c>
      <c r="G26" s="23">
        <f>G9*Drivers!E14</f>
        <v/>
      </c>
      <c r="H26" s="23">
        <f>H9*Drivers!E14*(1+Drivers!E15)*(1+Drivers!F15)*(1+Drivers!G15)*(1+Drivers!H15)</f>
        <v/>
      </c>
      <c r="I26" s="23">
        <f>I9*Drivers!E14*(1+Drivers!E15)*(1+Drivers!F15)*(1+Drivers!G15)*(1+Drivers!H15)</f>
        <v/>
      </c>
      <c r="J26" s="23">
        <f>J9*Drivers!E14*(1+Drivers!E15)*(1+Drivers!F15)*(1+Drivers!G15)*(1+Drivers!H15)</f>
        <v/>
      </c>
      <c r="K26" s="23">
        <f>K9*Drivers!E14*(1+Drivers!E15)*(1+Drivers!F15)*(1+Drivers!G15)*(1+Drivers!H15)*(1+Drivers!I15)*(1+Drivers!J15)*(1+Drivers!K15)</f>
        <v/>
      </c>
      <c r="L26" s="23">
        <f>L9*Drivers!E14*(1+Drivers!E15)*(1+Drivers!F15)*(1+Drivers!G15)*(1+Drivers!H15)*(1+Drivers!I15)*(1+Drivers!J15)*(1+Drivers!K15)</f>
        <v/>
      </c>
      <c r="M26" s="23">
        <f>M9*Drivers!E14*(1+Drivers!E15)*(1+Drivers!F15)*(1+Drivers!G15)*(1+Drivers!H15)*(1+Drivers!I15)*(1+Drivers!J15)*(1+Drivers!K15)</f>
        <v/>
      </c>
      <c r="N26" s="23">
        <f>N9*Drivers!E14*(1+Drivers!E15)*(1+Drivers!F15)*(1+Drivers!G15)*(1+Drivers!H15)*(1+Drivers!I15)*(1+Drivers!J15)*(1+Drivers!K15)*(1+Drivers!L15)*(1+Drivers!M15)*(1+Drivers!N15)</f>
        <v/>
      </c>
      <c r="O26" s="23">
        <f>O9*Drivers!E14*(1+Drivers!E15)*(1+Drivers!F15)*(1+Drivers!G15)*(1+Drivers!H15)*(1+Drivers!I15)*(1+Drivers!J15)*(1+Drivers!K15)*(1+Drivers!L15)*(1+Drivers!M15)*(1+Drivers!N15)</f>
        <v/>
      </c>
      <c r="P26" s="23">
        <f>P9*Drivers!E14*(1+Drivers!E15)*(1+Drivers!F15)*(1+Drivers!G15)*(1+Drivers!H15)*(1+Drivers!I15)*(1+Drivers!J15)*(1+Drivers!K15)*(1+Drivers!L15)*(1+Drivers!M15)*(1+Drivers!N15)</f>
        <v/>
      </c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>
        <f>0</f>
        <v/>
      </c>
      <c r="F27" s="23">
        <f>F10*Drivers!F14</f>
        <v/>
      </c>
      <c r="G27" s="23">
        <f>G10*Drivers!F14</f>
        <v/>
      </c>
      <c r="H27" s="23">
        <f>H10*Drivers!F14</f>
        <v/>
      </c>
      <c r="I27" s="23">
        <f>I10*Drivers!F14*(1+Drivers!F15)*(1+Drivers!G15)*(1+Drivers!H15)*(1+Drivers!I15)</f>
        <v/>
      </c>
      <c r="J27" s="23">
        <f>J10*Drivers!F14*(1+Drivers!F15)*(1+Drivers!G15)*(1+Drivers!H15)*(1+Drivers!I15)</f>
        <v/>
      </c>
      <c r="K27" s="23">
        <f>K10*Drivers!F14*(1+Drivers!F15)*(1+Drivers!G15)*(1+Drivers!H15)*(1+Drivers!I15)</f>
        <v/>
      </c>
      <c r="L27" s="23">
        <f>L10*Drivers!F14*(1+Drivers!F15)*(1+Drivers!G15)*(1+Drivers!H15)*(1+Drivers!I15)*(1+Drivers!J15)*(1+Drivers!K15)*(1+Drivers!L15)</f>
        <v/>
      </c>
      <c r="M27" s="23">
        <f>M10*Drivers!F14*(1+Drivers!F15)*(1+Drivers!G15)*(1+Drivers!H15)*(1+Drivers!I15)*(1+Drivers!J15)*(1+Drivers!K15)*(1+Drivers!L15)</f>
        <v/>
      </c>
      <c r="N27" s="23">
        <f>N10*Drivers!F14*(1+Drivers!F15)*(1+Drivers!G15)*(1+Drivers!H15)*(1+Drivers!I15)*(1+Drivers!J15)*(1+Drivers!K15)*(1+Drivers!L15)</f>
        <v/>
      </c>
      <c r="O27" s="23">
        <f>O10*Drivers!F14*(1+Drivers!F15)*(1+Drivers!G15)*(1+Drivers!H15)*(1+Drivers!I15)*(1+Drivers!J15)*(1+Drivers!K15)*(1+Drivers!L15)*(1+Drivers!M15)*(1+Drivers!N15)*(1+Drivers!O15)</f>
        <v/>
      </c>
      <c r="P27" s="23">
        <f>P10*Drivers!F14*(1+Drivers!F15)*(1+Drivers!G15)*(1+Drivers!H15)*(1+Drivers!I15)*(1+Drivers!J15)*(1+Drivers!K15)*(1+Drivers!L15)*(1+Drivers!M15)*(1+Drivers!N15)*(1+Drivers!O15)</f>
        <v/>
      </c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>
        <f>0</f>
        <v/>
      </c>
      <c r="F28" s="23">
        <f>0</f>
        <v/>
      </c>
      <c r="G28" s="23">
        <f>G11*Drivers!G14</f>
        <v/>
      </c>
      <c r="H28" s="23">
        <f>H11*Drivers!G14</f>
        <v/>
      </c>
      <c r="I28" s="23">
        <f>I11*Drivers!G14</f>
        <v/>
      </c>
      <c r="J28" s="23">
        <f>J11*Drivers!G14*(1+Drivers!G15)*(1+Drivers!H15)*(1+Drivers!I15)*(1+Drivers!J15)</f>
        <v/>
      </c>
      <c r="K28" s="23">
        <f>K11*Drivers!G14*(1+Drivers!G15)*(1+Drivers!H15)*(1+Drivers!I15)*(1+Drivers!J15)</f>
        <v/>
      </c>
      <c r="L28" s="23">
        <f>L11*Drivers!G14*(1+Drivers!G15)*(1+Drivers!H15)*(1+Drivers!I15)*(1+Drivers!J15)</f>
        <v/>
      </c>
      <c r="M28" s="23">
        <f>M11*Drivers!G14*(1+Drivers!G15)*(1+Drivers!H15)*(1+Drivers!I15)*(1+Drivers!J15)*(1+Drivers!K15)*(1+Drivers!L15)*(1+Drivers!M15)</f>
        <v/>
      </c>
      <c r="N28" s="23">
        <f>N11*Drivers!G14*(1+Drivers!G15)*(1+Drivers!H15)*(1+Drivers!I15)*(1+Drivers!J15)*(1+Drivers!K15)*(1+Drivers!L15)*(1+Drivers!M15)</f>
        <v/>
      </c>
      <c r="O28" s="23">
        <f>O11*Drivers!G14*(1+Drivers!G15)*(1+Drivers!H15)*(1+Drivers!I15)*(1+Drivers!J15)*(1+Drivers!K15)*(1+Drivers!L15)*(1+Drivers!M15)</f>
        <v/>
      </c>
      <c r="P28" s="23">
        <f>P11*Drivers!G14*(1+Drivers!G15)*(1+Drivers!H15)*(1+Drivers!I15)*(1+Drivers!J15)*(1+Drivers!K15)*(1+Drivers!L15)*(1+Drivers!M15)*(1+Drivers!N15)*(1+Drivers!O15)*(1+Drivers!P15)</f>
        <v/>
      </c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>
        <f>0</f>
        <v/>
      </c>
      <c r="F29" s="23">
        <f>0</f>
        <v/>
      </c>
      <c r="G29" s="23">
        <f>0</f>
        <v/>
      </c>
      <c r="H29" s="23">
        <f>H12*Drivers!H14</f>
        <v/>
      </c>
      <c r="I29" s="23">
        <f>I12*Drivers!H14</f>
        <v/>
      </c>
      <c r="J29" s="23">
        <f>J12*Drivers!H14</f>
        <v/>
      </c>
      <c r="K29" s="23">
        <f>K12*Drivers!H14*(1+Drivers!H15)*(1+Drivers!I15)*(1+Drivers!J15)*(1+Drivers!K15)</f>
        <v/>
      </c>
      <c r="L29" s="23">
        <f>L12*Drivers!H14*(1+Drivers!H15)*(1+Drivers!I15)*(1+Drivers!J15)*(1+Drivers!K15)</f>
        <v/>
      </c>
      <c r="M29" s="23">
        <f>M12*Drivers!H14*(1+Drivers!H15)*(1+Drivers!I15)*(1+Drivers!J15)*(1+Drivers!K15)</f>
        <v/>
      </c>
      <c r="N29" s="23">
        <f>N12*Drivers!H14*(1+Drivers!H15)*(1+Drivers!I15)*(1+Drivers!J15)*(1+Drivers!K15)*(1+Drivers!L15)*(1+Drivers!M15)*(1+Drivers!N15)</f>
        <v/>
      </c>
      <c r="O29" s="23">
        <f>O12*Drivers!H14*(1+Drivers!H15)*(1+Drivers!I15)*(1+Drivers!J15)*(1+Drivers!K15)*(1+Drivers!L15)*(1+Drivers!M15)*(1+Drivers!N15)</f>
        <v/>
      </c>
      <c r="P29" s="23">
        <f>P12*Drivers!H14*(1+Drivers!H15)*(1+Drivers!I15)*(1+Drivers!J15)*(1+Drivers!K15)*(1+Drivers!L15)*(1+Drivers!M15)*(1+Drivers!N15)</f>
        <v/>
      </c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>
        <f>0</f>
        <v/>
      </c>
      <c r="F30" s="23">
        <f>0</f>
        <v/>
      </c>
      <c r="G30" s="23">
        <f>0</f>
        <v/>
      </c>
      <c r="H30" s="23">
        <f>0</f>
        <v/>
      </c>
      <c r="I30" s="23">
        <f>I13*Drivers!I14</f>
        <v/>
      </c>
      <c r="J30" s="23">
        <f>J13*Drivers!I14</f>
        <v/>
      </c>
      <c r="K30" s="23">
        <f>K13*Drivers!I14</f>
        <v/>
      </c>
      <c r="L30" s="23">
        <f>L13*Drivers!I14*(1+Drivers!I15)*(1+Drivers!J15)*(1+Drivers!K15)*(1+Drivers!L15)</f>
        <v/>
      </c>
      <c r="M30" s="23">
        <f>M13*Drivers!I14*(1+Drivers!I15)*(1+Drivers!J15)*(1+Drivers!K15)*(1+Drivers!L15)</f>
        <v/>
      </c>
      <c r="N30" s="23">
        <f>N13*Drivers!I14*(1+Drivers!I15)*(1+Drivers!J15)*(1+Drivers!K15)*(1+Drivers!L15)</f>
        <v/>
      </c>
      <c r="O30" s="23">
        <f>O13*Drivers!I14*(1+Drivers!I15)*(1+Drivers!J15)*(1+Drivers!K15)*(1+Drivers!L15)*(1+Drivers!M15)*(1+Drivers!N15)*(1+Drivers!O15)</f>
        <v/>
      </c>
      <c r="P30" s="23">
        <f>P13*Drivers!I14*(1+Drivers!I15)*(1+Drivers!J15)*(1+Drivers!K15)*(1+Drivers!L15)*(1+Drivers!M15)*(1+Drivers!N15)*(1+Drivers!O15)</f>
        <v/>
      </c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>
        <f>0</f>
        <v/>
      </c>
      <c r="F31" s="23">
        <f>0</f>
        <v/>
      </c>
      <c r="G31" s="23">
        <f>0</f>
        <v/>
      </c>
      <c r="H31" s="23">
        <f>0</f>
        <v/>
      </c>
      <c r="I31" s="23">
        <f>0</f>
        <v/>
      </c>
      <c r="J31" s="23">
        <f>J14*Drivers!J14</f>
        <v/>
      </c>
      <c r="K31" s="23">
        <f>K14*Drivers!J14</f>
        <v/>
      </c>
      <c r="L31" s="23">
        <f>L14*Drivers!J14</f>
        <v/>
      </c>
      <c r="M31" s="23">
        <f>M14*Drivers!J14*(1+Drivers!J15)*(1+Drivers!K15)*(1+Drivers!L15)*(1+Drivers!M15)</f>
        <v/>
      </c>
      <c r="N31" s="23">
        <f>N14*Drivers!J14*(1+Drivers!J15)*(1+Drivers!K15)*(1+Drivers!L15)*(1+Drivers!M15)</f>
        <v/>
      </c>
      <c r="O31" s="23">
        <f>O14*Drivers!J14*(1+Drivers!J15)*(1+Drivers!K15)*(1+Drivers!L15)*(1+Drivers!M15)</f>
        <v/>
      </c>
      <c r="P31" s="23">
        <f>P14*Drivers!J14*(1+Drivers!J15)*(1+Drivers!K15)*(1+Drivers!L15)*(1+Drivers!M15)*(1+Drivers!N15)*(1+Drivers!O15)*(1+Drivers!P15)</f>
        <v/>
      </c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>
        <f>0</f>
        <v/>
      </c>
      <c r="F32" s="23">
        <f>0</f>
        <v/>
      </c>
      <c r="G32" s="23">
        <f>0</f>
        <v/>
      </c>
      <c r="H32" s="23">
        <f>0</f>
        <v/>
      </c>
      <c r="I32" s="23">
        <f>0</f>
        <v/>
      </c>
      <c r="J32" s="23">
        <f>0</f>
        <v/>
      </c>
      <c r="K32" s="23">
        <f>K15*Drivers!K14</f>
        <v/>
      </c>
      <c r="L32" s="23">
        <f>L15*Drivers!K14</f>
        <v/>
      </c>
      <c r="M32" s="23">
        <f>M15*Drivers!K14</f>
        <v/>
      </c>
      <c r="N32" s="23">
        <f>N15*Drivers!K14*(1+Drivers!K15)*(1+Drivers!L15)*(1+Drivers!M15)*(1+Drivers!N15)</f>
        <v/>
      </c>
      <c r="O32" s="23">
        <f>O15*Drivers!K14*(1+Drivers!K15)*(1+Drivers!L15)*(1+Drivers!M15)*(1+Drivers!N15)</f>
        <v/>
      </c>
      <c r="P32" s="23">
        <f>P15*Drivers!K14*(1+Drivers!K15)*(1+Drivers!L15)*(1+Drivers!M15)*(1+Drivers!N15)</f>
        <v/>
      </c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>
        <f>0</f>
        <v/>
      </c>
      <c r="F33" s="23">
        <f>0</f>
        <v/>
      </c>
      <c r="G33" s="23">
        <f>0</f>
        <v/>
      </c>
      <c r="H33" s="23">
        <f>0</f>
        <v/>
      </c>
      <c r="I33" s="23">
        <f>0</f>
        <v/>
      </c>
      <c r="J33" s="23">
        <f>0</f>
        <v/>
      </c>
      <c r="K33" s="23">
        <f>0</f>
        <v/>
      </c>
      <c r="L33" s="23">
        <f>L16*Drivers!L14</f>
        <v/>
      </c>
      <c r="M33" s="23">
        <f>M16*Drivers!L14</f>
        <v/>
      </c>
      <c r="N33" s="23">
        <f>N16*Drivers!L14</f>
        <v/>
      </c>
      <c r="O33" s="23">
        <f>O16*Drivers!L14*(1+Drivers!L15)*(1+Drivers!M15)*(1+Drivers!N15)*(1+Drivers!O15)</f>
        <v/>
      </c>
      <c r="P33" s="23">
        <f>P16*Drivers!L14*(1+Drivers!L15)*(1+Drivers!M15)*(1+Drivers!N15)*(1+Drivers!O15)</f>
        <v/>
      </c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>
        <f>0</f>
        <v/>
      </c>
      <c r="F34" s="23">
        <f>0</f>
        <v/>
      </c>
      <c r="G34" s="23">
        <f>0</f>
        <v/>
      </c>
      <c r="H34" s="23">
        <f>0</f>
        <v/>
      </c>
      <c r="I34" s="23">
        <f>0</f>
        <v/>
      </c>
      <c r="J34" s="23">
        <f>0</f>
        <v/>
      </c>
      <c r="K34" s="23">
        <f>0</f>
        <v/>
      </c>
      <c r="L34" s="23">
        <f>0</f>
        <v/>
      </c>
      <c r="M34" s="23">
        <f>M17*Drivers!M14</f>
        <v/>
      </c>
      <c r="N34" s="23">
        <f>N17*Drivers!M14</f>
        <v/>
      </c>
      <c r="O34" s="23">
        <f>O17*Drivers!M14</f>
        <v/>
      </c>
      <c r="P34" s="23">
        <f>P17*Drivers!M14*(1+Drivers!M15)*(1+Drivers!N15)*(1+Drivers!O15)*(1+Drivers!P15)</f>
        <v/>
      </c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>
        <f>0</f>
        <v/>
      </c>
      <c r="F35" s="23">
        <f>0</f>
        <v/>
      </c>
      <c r="G35" s="23">
        <f>0</f>
        <v/>
      </c>
      <c r="H35" s="23">
        <f>0</f>
        <v/>
      </c>
      <c r="I35" s="23">
        <f>0</f>
        <v/>
      </c>
      <c r="J35" s="23">
        <f>0</f>
        <v/>
      </c>
      <c r="K35" s="23">
        <f>0</f>
        <v/>
      </c>
      <c r="L35" s="23">
        <f>0</f>
        <v/>
      </c>
      <c r="M35" s="23">
        <f>0</f>
        <v/>
      </c>
      <c r="N35" s="23">
        <f>N18*Drivers!N14</f>
        <v/>
      </c>
      <c r="O35" s="23">
        <f>O18*Drivers!N14</f>
        <v/>
      </c>
      <c r="P35" s="23">
        <f>P18*Drivers!N14</f>
        <v/>
      </c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>
        <f>0</f>
        <v/>
      </c>
      <c r="F36" s="23">
        <f>0</f>
        <v/>
      </c>
      <c r="G36" s="23">
        <f>0</f>
        <v/>
      </c>
      <c r="H36" s="23">
        <f>0</f>
        <v/>
      </c>
      <c r="I36" s="23">
        <f>0</f>
        <v/>
      </c>
      <c r="J36" s="23">
        <f>0</f>
        <v/>
      </c>
      <c r="K36" s="23">
        <f>0</f>
        <v/>
      </c>
      <c r="L36" s="23">
        <f>0</f>
        <v/>
      </c>
      <c r="M36" s="23">
        <f>0</f>
        <v/>
      </c>
      <c r="N36" s="23">
        <f>0</f>
        <v/>
      </c>
      <c r="O36" s="23">
        <f>O19*Drivers!O14</f>
        <v/>
      </c>
      <c r="P36" s="23">
        <f>P19*Drivers!O14</f>
        <v/>
      </c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>
        <f>0</f>
        <v/>
      </c>
      <c r="F37" s="23">
        <f>0</f>
        <v/>
      </c>
      <c r="G37" s="23">
        <f>0</f>
        <v/>
      </c>
      <c r="H37" s="23">
        <f>0</f>
        <v/>
      </c>
      <c r="I37" s="23">
        <f>0</f>
        <v/>
      </c>
      <c r="J37" s="23">
        <f>0</f>
        <v/>
      </c>
      <c r="K37" s="23">
        <f>0</f>
        <v/>
      </c>
      <c r="L37" s="23">
        <f>0</f>
        <v/>
      </c>
      <c r="M37" s="23">
        <f>0</f>
        <v/>
      </c>
      <c r="N37" s="23">
        <f>0</f>
        <v/>
      </c>
      <c r="O37" s="23">
        <f>0</f>
        <v/>
      </c>
      <c r="P37" s="23">
        <f>P20*Drivers!P14</f>
        <v/>
      </c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Cohorts!E38</f>
        <v/>
      </c>
      <c r="F6" s="23">
        <f>Cohorts!F38</f>
        <v/>
      </c>
      <c r="G6" s="23">
        <f>Cohorts!G38</f>
        <v/>
      </c>
      <c r="H6" s="23">
        <f>Cohorts!H38</f>
        <v/>
      </c>
      <c r="I6" s="23">
        <f>Cohorts!I38</f>
        <v/>
      </c>
      <c r="J6" s="23">
        <f>Cohorts!J38</f>
        <v/>
      </c>
      <c r="K6" s="23">
        <f>Cohorts!K38</f>
        <v/>
      </c>
      <c r="L6" s="23">
        <f>Cohorts!L38</f>
        <v/>
      </c>
      <c r="M6" s="23">
        <f>Cohorts!M38</f>
        <v/>
      </c>
      <c r="N6" s="23">
        <f>Cohorts!N38</f>
        <v/>
      </c>
      <c r="O6" s="23">
        <f>Cohorts!O38</f>
        <v/>
      </c>
      <c r="P6" s="23">
        <f>Cohorts!P38</f>
        <v/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  <v/>
      </c>
      <c r="F7" s="24">
        <f>F6/E6-1</f>
        <v/>
      </c>
      <c r="G7" s="24">
        <f>G6/F6-1</f>
        <v/>
      </c>
      <c r="H7" s="24">
        <f>H6/G6-1</f>
        <v/>
      </c>
      <c r="I7" s="24">
        <f>I6/H6-1</f>
        <v/>
      </c>
      <c r="J7" s="24">
        <f>J6/I6-1</f>
        <v/>
      </c>
      <c r="K7" s="24">
        <f>K6/J6-1</f>
        <v/>
      </c>
      <c r="L7" s="24">
        <f>L6/K6-1</f>
        <v/>
      </c>
      <c r="M7" s="24">
        <f>M6/L6-1</f>
        <v/>
      </c>
      <c r="N7" s="24">
        <f>N6/M6-1</f>
        <v/>
      </c>
      <c r="O7" s="24">
        <f>O6/N6-1</f>
        <v/>
      </c>
      <c r="P7" s="24">
        <f>P6/O6-1</f>
        <v/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E6</f>
        <v/>
      </c>
      <c r="F8" s="23">
        <f>F6</f>
        <v/>
      </c>
      <c r="G8" s="23">
        <f>G6</f>
        <v/>
      </c>
      <c r="H8" s="23">
        <f>H6</f>
        <v/>
      </c>
      <c r="I8" s="23">
        <f>I6</f>
        <v/>
      </c>
      <c r="J8" s="23">
        <f>J6</f>
        <v/>
      </c>
      <c r="K8" s="23">
        <f>K6</f>
        <v/>
      </c>
      <c r="L8" s="23">
        <f>L6</f>
        <v/>
      </c>
      <c r="M8" s="23">
        <f>M6</f>
        <v/>
      </c>
      <c r="N8" s="23">
        <f>N6</f>
        <v/>
      </c>
      <c r="O8" s="23">
        <f>O6</f>
        <v/>
      </c>
      <c r="P8" s="23">
        <f>P6</f>
        <v/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>
        <f>Cohorts!E21</f>
        <v/>
      </c>
      <c r="F9" s="22">
        <f>Cohorts!F21</f>
        <v/>
      </c>
      <c r="G9" s="22">
        <f>Cohorts!G21</f>
        <v/>
      </c>
      <c r="H9" s="22">
        <f>Cohorts!H21</f>
        <v/>
      </c>
      <c r="I9" s="22">
        <f>Cohorts!I21</f>
        <v/>
      </c>
      <c r="J9" s="22">
        <f>Cohorts!J21</f>
        <v/>
      </c>
      <c r="K9" s="22">
        <f>Cohorts!K21</f>
        <v/>
      </c>
      <c r="L9" s="22">
        <f>Cohorts!L21</f>
        <v/>
      </c>
      <c r="M9" s="22">
        <f>Cohorts!M21</f>
        <v/>
      </c>
      <c r="N9" s="22">
        <f>Cohorts!N21</f>
        <v/>
      </c>
      <c r="O9" s="22">
        <f>Cohorts!O21</f>
        <v/>
      </c>
      <c r="P9" s="22">
        <f>Cohorts!P21</f>
        <v/>
      </c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>
        <f>E6/E9</f>
        <v/>
      </c>
      <c r="F10" s="23">
        <f>F6/F9</f>
        <v/>
      </c>
      <c r="G10" s="23">
        <f>G6/G9</f>
        <v/>
      </c>
      <c r="H10" s="23">
        <f>H6/H9</f>
        <v/>
      </c>
      <c r="I10" s="23">
        <f>I6/I9</f>
        <v/>
      </c>
      <c r="J10" s="23">
        <f>J6/J9</f>
        <v/>
      </c>
      <c r="K10" s="23">
        <f>K6/K9</f>
        <v/>
      </c>
      <c r="L10" s="23">
        <f>L6/L9</f>
        <v/>
      </c>
      <c r="M10" s="23">
        <f>M6/M9</f>
        <v/>
      </c>
      <c r="N10" s="23">
        <f>N6/N9</f>
        <v/>
      </c>
      <c r="O10" s="23">
        <f>O6/O9</f>
        <v/>
      </c>
      <c r="P10" s="23">
        <f>P6/P9</f>
        <v/>
      </c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  <v/>
      </c>
      <c r="F7" s="23">
        <f>F6*Drivers!F7</f>
        <v/>
      </c>
      <c r="G7" s="23">
        <f>G6*Drivers!G7</f>
        <v/>
      </c>
      <c r="H7" s="23">
        <f>H6*Drivers!H7</f>
        <v/>
      </c>
      <c r="I7" s="23">
        <f>I6*Drivers!I7</f>
        <v/>
      </c>
      <c r="J7" s="23">
        <f>J6*Drivers!J7</f>
        <v/>
      </c>
      <c r="K7" s="23">
        <f>K6*Drivers!K7</f>
        <v/>
      </c>
      <c r="L7" s="23">
        <f>L6*Drivers!L7</f>
        <v/>
      </c>
      <c r="M7" s="23">
        <f>M6*Drivers!M7</f>
        <v/>
      </c>
      <c r="N7" s="23">
        <f>N6*Drivers!N7</f>
        <v/>
      </c>
      <c r="O7" s="23">
        <f>O6*Drivers!O7</f>
        <v/>
      </c>
      <c r="P7" s="23">
        <f>P6*Drivers!P7</f>
        <v/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  <v/>
      </c>
      <c r="F9" s="23">
        <f>E9*(1+Drivers!F18)</f>
        <v/>
      </c>
      <c r="G9" s="23">
        <f>F9*(1+Drivers!G18)</f>
        <v/>
      </c>
      <c r="H9" s="23">
        <f>G9*(1+Drivers!H18)</f>
        <v/>
      </c>
      <c r="I9" s="23">
        <f>H9*(1+Drivers!I18)</f>
        <v/>
      </c>
      <c r="J9" s="23">
        <f>I9*(1+Drivers!J18)</f>
        <v/>
      </c>
      <c r="K9" s="23">
        <f>J9*(1+Drivers!K18)</f>
        <v/>
      </c>
      <c r="L9" s="23">
        <f>K9*(1+Drivers!L18)</f>
        <v/>
      </c>
      <c r="M9" s="23">
        <f>L9*(1+Drivers!M18)</f>
        <v/>
      </c>
      <c r="N9" s="23">
        <f>M9*(1+Drivers!N18)</f>
        <v/>
      </c>
      <c r="O9" s="23">
        <f>N9*(1+Drivers!O18)</f>
        <v/>
      </c>
      <c r="P9" s="23">
        <f>O9*(1+Drivers!P18)</f>
        <v/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  <v/>
      </c>
      <c r="F10" s="23">
        <f>F6*Drivers!F19</f>
        <v/>
      </c>
      <c r="G10" s="23">
        <f>G6*Drivers!G19</f>
        <v/>
      </c>
      <c r="H10" s="23">
        <f>H6*Drivers!H19</f>
        <v/>
      </c>
      <c r="I10" s="23">
        <f>I6*Drivers!I19</f>
        <v/>
      </c>
      <c r="J10" s="23">
        <f>J6*Drivers!J19</f>
        <v/>
      </c>
      <c r="K10" s="23">
        <f>K6*Drivers!K19</f>
        <v/>
      </c>
      <c r="L10" s="23">
        <f>L6*Drivers!L19</f>
        <v/>
      </c>
      <c r="M10" s="23">
        <f>M6*Drivers!M19</f>
        <v/>
      </c>
      <c r="N10" s="23">
        <f>N6*Drivers!N19</f>
        <v/>
      </c>
      <c r="O10" s="23">
        <f>O6*Drivers!O19</f>
        <v/>
      </c>
      <c r="P10" s="23">
        <f>P6*Drivers!P19</f>
        <v/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  <v/>
      </c>
      <c r="F11" s="23">
        <f>E11*(1+Drivers!F20)</f>
        <v/>
      </c>
      <c r="G11" s="23">
        <f>F11*(1+Drivers!G20)</f>
        <v/>
      </c>
      <c r="H11" s="23">
        <f>G11*(1+Drivers!H20)</f>
        <v/>
      </c>
      <c r="I11" s="23">
        <f>H11*(1+Drivers!I20)</f>
        <v/>
      </c>
      <c r="J11" s="23">
        <f>I11*(1+Drivers!J20)</f>
        <v/>
      </c>
      <c r="K11" s="23">
        <f>J11*(1+Drivers!K20)</f>
        <v/>
      </c>
      <c r="L11" s="23">
        <f>K11*(1+Drivers!L20)</f>
        <v/>
      </c>
      <c r="M11" s="23">
        <f>L11*(1+Drivers!M20)</f>
        <v/>
      </c>
      <c r="N11" s="23">
        <f>M11*(1+Drivers!N20)</f>
        <v/>
      </c>
      <c r="O11" s="23">
        <f>N11*(1+Drivers!O20)</f>
        <v/>
      </c>
      <c r="P11" s="23">
        <f>O11*(1+Drivers!P20)</f>
        <v/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  <v/>
      </c>
      <c r="F12" s="23">
        <f>F8-F9-F10-F11</f>
        <v/>
      </c>
      <c r="G12" s="23">
        <f>G8-G9-G10-G11</f>
        <v/>
      </c>
      <c r="H12" s="23">
        <f>H8-H9-H10-H11</f>
        <v/>
      </c>
      <c r="I12" s="23">
        <f>I8-I9-I10-I11</f>
        <v/>
      </c>
      <c r="J12" s="23">
        <f>J8-J9-J10-J11</f>
        <v/>
      </c>
      <c r="K12" s="23">
        <f>K8-K9-K10-K11</f>
        <v/>
      </c>
      <c r="L12" s="23">
        <f>L8-L9-L10-L11</f>
        <v/>
      </c>
      <c r="M12" s="23">
        <f>M8-M9-M10-M11</f>
        <v/>
      </c>
      <c r="N12" s="23">
        <f>N8-N9-N10-N11</f>
        <v/>
      </c>
      <c r="O12" s="23">
        <f>O8-O9-O10-O11</f>
        <v/>
      </c>
      <c r="P12" s="23">
        <f>P8-P9-P10-P11</f>
        <v/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  <v/>
      </c>
      <c r="F13" s="23">
        <f>Drivers!F21</f>
        <v/>
      </c>
      <c r="G13" s="23">
        <f>Drivers!G21</f>
        <v/>
      </c>
      <c r="H13" s="23">
        <f>Drivers!H21</f>
        <v/>
      </c>
      <c r="I13" s="23">
        <f>Drivers!I21</f>
        <v/>
      </c>
      <c r="J13" s="23">
        <f>Drivers!J21</f>
        <v/>
      </c>
      <c r="K13" s="23">
        <f>Drivers!K21</f>
        <v/>
      </c>
      <c r="L13" s="23">
        <f>Drivers!L21</f>
        <v/>
      </c>
      <c r="M13" s="23">
        <f>Drivers!M21</f>
        <v/>
      </c>
      <c r="N13" s="23">
        <f>Drivers!N21</f>
        <v/>
      </c>
      <c r="O13" s="23">
        <f>Drivers!O21</f>
        <v/>
      </c>
      <c r="P13" s="23">
        <f>Drivers!P21</f>
        <v/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  <v/>
      </c>
      <c r="F14" s="23">
        <f>F12-F13</f>
        <v/>
      </c>
      <c r="G14" s="23">
        <f>G12-G13</f>
        <v/>
      </c>
      <c r="H14" s="23">
        <f>H12-H13</f>
        <v/>
      </c>
      <c r="I14" s="23">
        <f>I12-I13</f>
        <v/>
      </c>
      <c r="J14" s="23">
        <f>J12-J13</f>
        <v/>
      </c>
      <c r="K14" s="23">
        <f>K12-K13</f>
        <v/>
      </c>
      <c r="L14" s="23">
        <f>L12-L13</f>
        <v/>
      </c>
      <c r="M14" s="23">
        <f>M12-M13</f>
        <v/>
      </c>
      <c r="N14" s="23">
        <f>N12-N13</f>
        <v/>
      </c>
      <c r="O14" s="23">
        <f>O12-O13</f>
        <v/>
      </c>
      <c r="P14" s="23">
        <f>P12-P13</f>
        <v/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  <v/>
      </c>
      <c r="F15" s="23">
        <f>'Cash Flow'!F13*Drivers!F24/12</f>
        <v/>
      </c>
      <c r="G15" s="23">
        <f>'Cash Flow'!G13*Drivers!G24/12</f>
        <v/>
      </c>
      <c r="H15" s="23">
        <f>'Cash Flow'!H13*Drivers!H24/12</f>
        <v/>
      </c>
      <c r="I15" s="23">
        <f>'Cash Flow'!I13*Drivers!I24/12</f>
        <v/>
      </c>
      <c r="J15" s="23">
        <f>'Cash Flow'!J13*Drivers!J24/12</f>
        <v/>
      </c>
      <c r="K15" s="23">
        <f>'Cash Flow'!K13*Drivers!K24/12</f>
        <v/>
      </c>
      <c r="L15" s="23">
        <f>'Cash Flow'!L13*Drivers!L24/12</f>
        <v/>
      </c>
      <c r="M15" s="23">
        <f>'Cash Flow'!M13*Drivers!M24/12</f>
        <v/>
      </c>
      <c r="N15" s="23">
        <f>'Cash Flow'!N13*Drivers!N24/12</f>
        <v/>
      </c>
      <c r="O15" s="23">
        <f>'Cash Flow'!O13*Drivers!O24/12</f>
        <v/>
      </c>
      <c r="P15" s="23">
        <f>'Cash Flow'!P13*Drivers!P24/12</f>
        <v/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  <v/>
      </c>
      <c r="F16" s="23">
        <f>MAX(F14-F15,0)*Drivers!F8</f>
        <v/>
      </c>
      <c r="G16" s="23">
        <f>MAX(G14-G15,0)*Drivers!G8</f>
        <v/>
      </c>
      <c r="H16" s="23">
        <f>MAX(H14-H15,0)*Drivers!H8</f>
        <v/>
      </c>
      <c r="I16" s="23">
        <f>MAX(I14-I15,0)*Drivers!I8</f>
        <v/>
      </c>
      <c r="J16" s="23">
        <f>MAX(J14-J15,0)*Drivers!J8</f>
        <v/>
      </c>
      <c r="K16" s="23">
        <f>MAX(K14-K15,0)*Drivers!K8</f>
        <v/>
      </c>
      <c r="L16" s="23">
        <f>MAX(L14-L15,0)*Drivers!L8</f>
        <v/>
      </c>
      <c r="M16" s="23">
        <f>MAX(M14-M15,0)*Drivers!M8</f>
        <v/>
      </c>
      <c r="N16" s="23">
        <f>MAX(N14-N15,0)*Drivers!N8</f>
        <v/>
      </c>
      <c r="O16" s="23">
        <f>MAX(O14-O15,0)*Drivers!O8</f>
        <v/>
      </c>
      <c r="P16" s="23">
        <f>MAX(P14-P15,0)*Drivers!P8</f>
        <v/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  <v/>
      </c>
      <c r="F17" s="23">
        <f>F14-F15-F16</f>
        <v/>
      </c>
      <c r="G17" s="23">
        <f>G14-G15-G16</f>
        <v/>
      </c>
      <c r="H17" s="23">
        <f>H14-H15-H16</f>
        <v/>
      </c>
      <c r="I17" s="23">
        <f>I14-I15-I16</f>
        <v/>
      </c>
      <c r="J17" s="23">
        <f>J14-J15-J16</f>
        <v/>
      </c>
      <c r="K17" s="23">
        <f>K14-K15-K16</f>
        <v/>
      </c>
      <c r="L17" s="23">
        <f>L14-L15-L16</f>
        <v/>
      </c>
      <c r="M17" s="23">
        <f>M14-M15-M16</f>
        <v/>
      </c>
      <c r="N17" s="23">
        <f>N14-N15-N16</f>
        <v/>
      </c>
      <c r="O17" s="23">
        <f>O14-O15-O16</f>
        <v/>
      </c>
      <c r="P17" s="23">
        <f>P14-P15-P16</f>
        <v/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Revenue!E6/Drivers!E25*Drivers!E16</f>
        <v/>
      </c>
      <c r="F6" s="23">
        <f>Revenue!F6/Drivers!F25*Drivers!F16</f>
        <v/>
      </c>
      <c r="G6" s="23">
        <f>Revenue!G6/Drivers!G25*Drivers!G16</f>
        <v/>
      </c>
      <c r="H6" s="23">
        <f>Revenue!H6/Drivers!H25*Drivers!H16</f>
        <v/>
      </c>
      <c r="I6" s="23">
        <f>Revenue!I6/Drivers!I25*Drivers!I16</f>
        <v/>
      </c>
      <c r="J6" s="23">
        <f>Revenue!J6/Drivers!J25*Drivers!J16</f>
        <v/>
      </c>
      <c r="K6" s="23">
        <f>Revenue!K6/Drivers!K25*Drivers!K16</f>
        <v/>
      </c>
      <c r="L6" s="23">
        <f>Revenue!L6/Drivers!L25*Drivers!L16</f>
        <v/>
      </c>
      <c r="M6" s="23">
        <f>Revenue!M6/Drivers!M25*Drivers!M16</f>
        <v/>
      </c>
      <c r="N6" s="23">
        <f>Revenue!N6/Drivers!N25*Drivers!N16</f>
        <v/>
      </c>
      <c r="O6" s="23">
        <f>Revenue!O6/Drivers!O25*Drivers!O16</f>
        <v/>
      </c>
      <c r="P6" s="23">
        <f>Revenue!P6/Drivers!P25*Drivers!P16</f>
        <v/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  <v/>
      </c>
      <c r="F7" s="23">
        <f>'P&amp;L'!F7/Drivers!F25*Drivers!F17</f>
        <v/>
      </c>
      <c r="G7" s="23">
        <f>'P&amp;L'!G7/Drivers!G25*Drivers!G17</f>
        <v/>
      </c>
      <c r="H7" s="23">
        <f>'P&amp;L'!H7/Drivers!H25*Drivers!H17</f>
        <v/>
      </c>
      <c r="I7" s="23">
        <f>'P&amp;L'!I7/Drivers!I25*Drivers!I17</f>
        <v/>
      </c>
      <c r="J7" s="23">
        <f>'P&amp;L'!J7/Drivers!J25*Drivers!J17</f>
        <v/>
      </c>
      <c r="K7" s="23">
        <f>'P&amp;L'!K7/Drivers!K25*Drivers!K17</f>
        <v/>
      </c>
      <c r="L7" s="23">
        <f>'P&amp;L'!L7/Drivers!L25*Drivers!L17</f>
        <v/>
      </c>
      <c r="M7" s="23">
        <f>'P&amp;L'!M7/Drivers!M25*Drivers!M17</f>
        <v/>
      </c>
      <c r="N7" s="23">
        <f>'P&amp;L'!N7/Drivers!N25*Drivers!N17</f>
        <v/>
      </c>
      <c r="O7" s="23">
        <f>'P&amp;L'!O7/Drivers!O25*Drivers!O17</f>
        <v/>
      </c>
      <c r="P7" s="23">
        <f>'P&amp;L'!P7/Drivers!P25*Drivers!P17</f>
        <v/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  <v/>
      </c>
      <c r="F10" s="23">
        <f>F6-E6</f>
        <v/>
      </c>
      <c r="G10" s="23">
        <f>G6-F6</f>
        <v/>
      </c>
      <c r="H10" s="23">
        <f>H6-G6</f>
        <v/>
      </c>
      <c r="I10" s="23">
        <f>I6-H6</f>
        <v/>
      </c>
      <c r="J10" s="23">
        <f>J6-I6</f>
        <v/>
      </c>
      <c r="K10" s="23">
        <f>K6-J6</f>
        <v/>
      </c>
      <c r="L10" s="23">
        <f>L6-K6</f>
        <v/>
      </c>
      <c r="M10" s="23">
        <f>M6-L6</f>
        <v/>
      </c>
      <c r="N10" s="23">
        <f>N6-M6</f>
        <v/>
      </c>
      <c r="O10" s="23">
        <f>O6-N6</f>
        <v/>
      </c>
      <c r="P10" s="23">
        <f>P6-O6</f>
        <v/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  <v/>
      </c>
      <c r="F11" s="23">
        <f>F7-E7</f>
        <v/>
      </c>
      <c r="G11" s="23">
        <f>G7-F7</f>
        <v/>
      </c>
      <c r="H11" s="23">
        <f>H7-G7</f>
        <v/>
      </c>
      <c r="I11" s="23">
        <f>I7-H7</f>
        <v/>
      </c>
      <c r="J11" s="23">
        <f>J7-I7</f>
        <v/>
      </c>
      <c r="K11" s="23">
        <f>K7-J7</f>
        <v/>
      </c>
      <c r="L11" s="23">
        <f>L7-K7</f>
        <v/>
      </c>
      <c r="M11" s="23">
        <f>M7-L7</f>
        <v/>
      </c>
      <c r="N11" s="23">
        <f>N7-M7</f>
        <v/>
      </c>
      <c r="O11" s="23">
        <f>O7-N7</f>
        <v/>
      </c>
      <c r="P11" s="23">
        <f>P7-O7</f>
        <v/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  <v/>
      </c>
      <c r="F12" s="23">
        <f>-F10+F11</f>
        <v/>
      </c>
      <c r="G12" s="23">
        <f>-G10+G11</f>
        <v/>
      </c>
      <c r="H12" s="23">
        <f>-H10+H11</f>
        <v/>
      </c>
      <c r="I12" s="23">
        <f>-I10+I11</f>
        <v/>
      </c>
      <c r="J12" s="23">
        <f>-J10+J11</f>
        <v/>
      </c>
      <c r="K12" s="23">
        <f>-K10+K11</f>
        <v/>
      </c>
      <c r="L12" s="23">
        <f>-L10+L11</f>
        <v/>
      </c>
      <c r="M12" s="23">
        <f>-M10+M11</f>
        <v/>
      </c>
      <c r="N12" s="23">
        <f>-N10+N11</f>
        <v/>
      </c>
      <c r="O12" s="23">
        <f>-O10+O11</f>
        <v/>
      </c>
      <c r="P12" s="23">
        <f>-P10+P11</f>
        <v/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  <v/>
      </c>
      <c r="F10" s="23">
        <f>F7+F8+F9</f>
        <v/>
      </c>
      <c r="G10" s="23">
        <f>G7+G8+G9</f>
        <v/>
      </c>
      <c r="H10" s="23">
        <f>H7+H8+H9</f>
        <v/>
      </c>
      <c r="I10" s="23">
        <f>I7+I8+I9</f>
        <v/>
      </c>
      <c r="J10" s="23">
        <f>J7+J8+J9</f>
        <v/>
      </c>
      <c r="K10" s="23">
        <f>K7+K8+K9</f>
        <v/>
      </c>
      <c r="L10" s="23">
        <f>L7+L8+L9</f>
        <v/>
      </c>
      <c r="M10" s="23">
        <f>M7+M8+M9</f>
        <v/>
      </c>
      <c r="N10" s="23">
        <f>N7+N8+N9</f>
        <v/>
      </c>
      <c r="O10" s="23">
        <f>O7+O8+O9</f>
        <v/>
      </c>
      <c r="P10" s="23">
        <f>P7+P8+P9</f>
        <v/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  <v/>
      </c>
      <c r="F12" s="23">
        <f>F6+F10-F11</f>
        <v/>
      </c>
      <c r="G12" s="23">
        <f>G6+G10-G11</f>
        <v/>
      </c>
      <c r="H12" s="23">
        <f>H6+H10-H11</f>
        <v/>
      </c>
      <c r="I12" s="23">
        <f>I6+I10-I11</f>
        <v/>
      </c>
      <c r="J12" s="23">
        <f>J6+J10-J11</f>
        <v/>
      </c>
      <c r="K12" s="23">
        <f>K6+K10-K11</f>
        <v/>
      </c>
      <c r="L12" s="23">
        <f>L6+L10-L11</f>
        <v/>
      </c>
      <c r="M12" s="23">
        <f>M6+M10-M11</f>
        <v/>
      </c>
      <c r="N12" s="23">
        <f>N6+N10-N11</f>
        <v/>
      </c>
      <c r="O12" s="23">
        <f>O6+O10-O11</f>
        <v/>
      </c>
      <c r="P12" s="23">
        <f>P6+P10-P11</f>
        <v/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  <v/>
      </c>
      <c r="F14" s="23">
        <f>MAX(Drivers!F23-F12,0)</f>
        <v/>
      </c>
      <c r="G14" s="23">
        <f>MAX(Drivers!G23-G12,0)</f>
        <v/>
      </c>
      <c r="H14" s="23">
        <f>MAX(Drivers!H23-H12,0)</f>
        <v/>
      </c>
      <c r="I14" s="23">
        <f>MAX(Drivers!I23-I12,0)</f>
        <v/>
      </c>
      <c r="J14" s="23">
        <f>MAX(Drivers!J23-J12,0)</f>
        <v/>
      </c>
      <c r="K14" s="23">
        <f>MAX(Drivers!K23-K12,0)</f>
        <v/>
      </c>
      <c r="L14" s="23">
        <f>MAX(Drivers!L23-L12,0)</f>
        <v/>
      </c>
      <c r="M14" s="23">
        <f>MAX(Drivers!M23-M12,0)</f>
        <v/>
      </c>
      <c r="N14" s="23">
        <f>MAX(Drivers!N23-N12,0)</f>
        <v/>
      </c>
      <c r="O14" s="23">
        <f>MAX(Drivers!O23-O12,0)</f>
        <v/>
      </c>
      <c r="P14" s="23">
        <f>MAX(Drivers!P23-P12,0)</f>
        <v/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  <v/>
      </c>
      <c r="F15" s="23">
        <f>MIN(F13,MAX(F12-Drivers!F23,0))</f>
        <v/>
      </c>
      <c r="G15" s="23">
        <f>MIN(G13,MAX(G12-Drivers!G23,0))</f>
        <v/>
      </c>
      <c r="H15" s="23">
        <f>MIN(H13,MAX(H12-Drivers!H23,0))</f>
        <v/>
      </c>
      <c r="I15" s="23">
        <f>MIN(I13,MAX(I12-Drivers!I23,0))</f>
        <v/>
      </c>
      <c r="J15" s="23">
        <f>MIN(J13,MAX(J12-Drivers!J23,0))</f>
        <v/>
      </c>
      <c r="K15" s="23">
        <f>MIN(K13,MAX(K12-Drivers!K23,0))</f>
        <v/>
      </c>
      <c r="L15" s="23">
        <f>MIN(L13,MAX(L12-Drivers!L23,0))</f>
        <v/>
      </c>
      <c r="M15" s="23">
        <f>MIN(M13,MAX(M12-Drivers!M23,0))</f>
        <v/>
      </c>
      <c r="N15" s="23">
        <f>MIN(N13,MAX(N12-Drivers!N23,0))</f>
        <v/>
      </c>
      <c r="O15" s="23">
        <f>MIN(O13,MAX(O12-Drivers!O23,0))</f>
        <v/>
      </c>
      <c r="P15" s="23">
        <f>MIN(P13,MAX(P12-Drivers!P23,0))</f>
        <v/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  <v/>
      </c>
      <c r="F16" s="23">
        <f>F14-F15</f>
        <v/>
      </c>
      <c r="G16" s="23">
        <f>G14-G15</f>
        <v/>
      </c>
      <c r="H16" s="23">
        <f>H14-H15</f>
        <v/>
      </c>
      <c r="I16" s="23">
        <f>I14-I15</f>
        <v/>
      </c>
      <c r="J16" s="23">
        <f>J14-J15</f>
        <v/>
      </c>
      <c r="K16" s="23">
        <f>K14-K15</f>
        <v/>
      </c>
      <c r="L16" s="23">
        <f>L14-L15</f>
        <v/>
      </c>
      <c r="M16" s="23">
        <f>M14-M15</f>
        <v/>
      </c>
      <c r="N16" s="23">
        <f>N14-N15</f>
        <v/>
      </c>
      <c r="O16" s="23">
        <f>O14-O15</f>
        <v/>
      </c>
      <c r="P16" s="23">
        <f>P14-P15</f>
        <v/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  <v/>
      </c>
      <c r="F17" s="23">
        <f>F12+F16</f>
        <v/>
      </c>
      <c r="G17" s="23">
        <f>G12+G16</f>
        <v/>
      </c>
      <c r="H17" s="23">
        <f>H12+H16</f>
        <v/>
      </c>
      <c r="I17" s="23">
        <f>I12+I16</f>
        <v/>
      </c>
      <c r="J17" s="23">
        <f>J12+J16</f>
        <v/>
      </c>
      <c r="K17" s="23">
        <f>K12+K16</f>
        <v/>
      </c>
      <c r="L17" s="23">
        <f>L12+L16</f>
        <v/>
      </c>
      <c r="M17" s="23">
        <f>M12+M16</f>
        <v/>
      </c>
      <c r="N17" s="23">
        <f>N12+N16</f>
        <v/>
      </c>
      <c r="O17" s="23">
        <f>O12+O16</f>
        <v/>
      </c>
      <c r="P17" s="23">
        <f>P12+P16</f>
        <v/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  <v/>
      </c>
      <c r="F18" s="23">
        <f>F13+F16</f>
        <v/>
      </c>
      <c r="G18" s="23">
        <f>G13+G16</f>
        <v/>
      </c>
      <c r="H18" s="23">
        <f>H13+H16</f>
        <v/>
      </c>
      <c r="I18" s="23">
        <f>I13+I16</f>
        <v/>
      </c>
      <c r="J18" s="23">
        <f>J13+J16</f>
        <v/>
      </c>
      <c r="K18" s="23">
        <f>K13+K16</f>
        <v/>
      </c>
      <c r="L18" s="23">
        <f>L13+L16</f>
        <v/>
      </c>
      <c r="M18" s="23">
        <f>M13+M16</f>
        <v/>
      </c>
      <c r="N18" s="23">
        <f>N13+N16</f>
        <v/>
      </c>
      <c r="O18" s="23">
        <f>O13+O16</f>
        <v/>
      </c>
      <c r="P18" s="23">
        <f>P13+P16</f>
        <v/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  <v/>
      </c>
      <c r="F6" s="23">
        <f>'P&amp;L'!F6-Revenue!F6</f>
        <v/>
      </c>
      <c r="G6" s="23">
        <f>'P&amp;L'!G6-Revenue!G6</f>
        <v/>
      </c>
      <c r="H6" s="23">
        <f>'P&amp;L'!H6-Revenue!H6</f>
        <v/>
      </c>
      <c r="I6" s="23">
        <f>'P&amp;L'!I6-Revenue!I6</f>
        <v/>
      </c>
      <c r="J6" s="23">
        <f>'P&amp;L'!J6-Revenue!J6</f>
        <v/>
      </c>
      <c r="K6" s="23">
        <f>'P&amp;L'!K6-Revenue!K6</f>
        <v/>
      </c>
      <c r="L6" s="23">
        <f>'P&amp;L'!L6-Revenue!L6</f>
        <v/>
      </c>
      <c r="M6" s="23">
        <f>'P&amp;L'!M6-Revenue!M6</f>
        <v/>
      </c>
      <c r="N6" s="23">
        <f>'P&amp;L'!N6-Revenue!N6</f>
        <v/>
      </c>
      <c r="O6" s="23">
        <f>'P&amp;L'!O6-Revenue!O6</f>
        <v/>
      </c>
      <c r="P6" s="23">
        <f>'P&amp;L'!P6-Revenue!P6</f>
        <v/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Capital'!E6/Revenue!E6*Drivers!E25-Drivers!E16</f>
        <v/>
      </c>
      <c r="F7" s="23">
        <f>'Working Capital'!F6/Revenue!F6*Drivers!F25-Drivers!F16</f>
        <v/>
      </c>
      <c r="G7" s="23">
        <f>'Working Capital'!G6/Revenue!G6*Drivers!G25-Drivers!G16</f>
        <v/>
      </c>
      <c r="H7" s="23">
        <f>'Working Capital'!H6/Revenue!H6*Drivers!H25-Drivers!H16</f>
        <v/>
      </c>
      <c r="I7" s="23">
        <f>'Working Capital'!I6/Revenue!I6*Drivers!I25-Drivers!I16</f>
        <v/>
      </c>
      <c r="J7" s="23">
        <f>'Working Capital'!J6/Revenue!J6*Drivers!J25-Drivers!J16</f>
        <v/>
      </c>
      <c r="K7" s="23">
        <f>'Working Capital'!K6/Revenue!K6*Drivers!K25-Drivers!K16</f>
        <v/>
      </c>
      <c r="L7" s="23">
        <f>'Working Capital'!L6/Revenue!L6*Drivers!L25-Drivers!L16</f>
        <v/>
      </c>
      <c r="M7" s="23">
        <f>'Working Capital'!M6/Revenue!M6*Drivers!M25-Drivers!M16</f>
        <v/>
      </c>
      <c r="N7" s="23">
        <f>'Working Capital'!N6/Revenue!N6*Drivers!N25-Drivers!N16</f>
        <v/>
      </c>
      <c r="O7" s="23">
        <f>'Working Capital'!O6/Revenue!O6*Drivers!O25-Drivers!O16</f>
        <v/>
      </c>
      <c r="P7" s="23">
        <f>'Working Capital'!P6/Revenue!P6*Drivers!P25-Drivers!P16</f>
        <v/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  <v/>
      </c>
      <c r="F8" s="23">
        <f>'Working Capital'!F7/'P&amp;L'!F7*Drivers!F25-Drivers!F17</f>
        <v/>
      </c>
      <c r="G8" s="23">
        <f>'Working Capital'!G7/'P&amp;L'!G7*Drivers!G25-Drivers!G17</f>
        <v/>
      </c>
      <c r="H8" s="23">
        <f>'Working Capital'!H7/'P&amp;L'!H7*Drivers!H25-Drivers!H17</f>
        <v/>
      </c>
      <c r="I8" s="23">
        <f>'Working Capital'!I7/'P&amp;L'!I7*Drivers!I25-Drivers!I17</f>
        <v/>
      </c>
      <c r="J8" s="23">
        <f>'Working Capital'!J7/'P&amp;L'!J7*Drivers!J25-Drivers!J17</f>
        <v/>
      </c>
      <c r="K8" s="23">
        <f>'Working Capital'!K7/'P&amp;L'!K7*Drivers!K25-Drivers!K17</f>
        <v/>
      </c>
      <c r="L8" s="23">
        <f>'Working Capital'!L7/'P&amp;L'!L7*Drivers!L25-Drivers!L17</f>
        <v/>
      </c>
      <c r="M8" s="23">
        <f>'Working Capital'!M7/'P&amp;L'!M7*Drivers!M25-Drivers!M17</f>
        <v/>
      </c>
      <c r="N8" s="23">
        <f>'Working Capital'!N7/'P&amp;L'!N7*Drivers!N25-Drivers!N17</f>
        <v/>
      </c>
      <c r="O8" s="23">
        <f>'Working Capital'!O7/'P&amp;L'!O7*Drivers!O25-Drivers!O17</f>
        <v/>
      </c>
      <c r="P8" s="23">
        <f>'Working Capital'!P7/'P&amp;L'!P7*Drivers!P25-Drivers!P17</f>
        <v/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  <v/>
      </c>
      <c r="F9" s="23">
        <f>'P&amp;L'!F17-('P&amp;L'!F14-'P&amp;L'!F15-'P&amp;L'!F16)</f>
        <v/>
      </c>
      <c r="G9" s="23">
        <f>'P&amp;L'!G17-('P&amp;L'!G14-'P&amp;L'!G15-'P&amp;L'!G16)</f>
        <v/>
      </c>
      <c r="H9" s="23">
        <f>'P&amp;L'!H17-('P&amp;L'!H14-'P&amp;L'!H15-'P&amp;L'!H16)</f>
        <v/>
      </c>
      <c r="I9" s="23">
        <f>'P&amp;L'!I17-('P&amp;L'!I14-'P&amp;L'!I15-'P&amp;L'!I16)</f>
        <v/>
      </c>
      <c r="J9" s="23">
        <f>'P&amp;L'!J17-('P&amp;L'!J14-'P&amp;L'!J15-'P&amp;L'!J16)</f>
        <v/>
      </c>
      <c r="K9" s="23">
        <f>'P&amp;L'!K17-('P&amp;L'!K14-'P&amp;L'!K15-'P&amp;L'!K16)</f>
        <v/>
      </c>
      <c r="L9" s="23">
        <f>'P&amp;L'!L17-('P&amp;L'!L14-'P&amp;L'!L15-'P&amp;L'!L16)</f>
        <v/>
      </c>
      <c r="M9" s="23">
        <f>'P&amp;L'!M17-('P&amp;L'!M14-'P&amp;L'!M15-'P&amp;L'!M16)</f>
        <v/>
      </c>
      <c r="N9" s="23">
        <f>'P&amp;L'!N17-('P&amp;L'!N14-'P&amp;L'!N15-'P&amp;L'!N16)</f>
        <v/>
      </c>
      <c r="O9" s="23">
        <f>'P&amp;L'!O17-('P&amp;L'!O14-'P&amp;L'!O15-'P&amp;L'!O16)</f>
        <v/>
      </c>
      <c r="P9" s="23">
        <f>'P&amp;L'!P17-('P&amp;L'!P14-'P&amp;L'!P15-'P&amp;L'!P16)</f>
        <v/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  <v/>
      </c>
      <c r="F10" s="23">
        <f>'Cash Flow'!F17-('Cash Flow'!F6+'Cash Flow'!F10-'Cash Flow'!F11+'Cash Flow'!F14-'Cash Flow'!F15)</f>
        <v/>
      </c>
      <c r="G10" s="23">
        <f>'Cash Flow'!G17-('Cash Flow'!G6+'Cash Flow'!G10-'Cash Flow'!G11+'Cash Flow'!G14-'Cash Flow'!G15)</f>
        <v/>
      </c>
      <c r="H10" s="23">
        <f>'Cash Flow'!H17-('Cash Flow'!H6+'Cash Flow'!H10-'Cash Flow'!H11+'Cash Flow'!H14-'Cash Flow'!H15)</f>
        <v/>
      </c>
      <c r="I10" s="23">
        <f>'Cash Flow'!I17-('Cash Flow'!I6+'Cash Flow'!I10-'Cash Flow'!I11+'Cash Flow'!I14-'Cash Flow'!I15)</f>
        <v/>
      </c>
      <c r="J10" s="23">
        <f>'Cash Flow'!J17-('Cash Flow'!J6+'Cash Flow'!J10-'Cash Flow'!J11+'Cash Flow'!J14-'Cash Flow'!J15)</f>
        <v/>
      </c>
      <c r="K10" s="23">
        <f>'Cash Flow'!K17-('Cash Flow'!K6+'Cash Flow'!K10-'Cash Flow'!K11+'Cash Flow'!K14-'Cash Flow'!K15)</f>
        <v/>
      </c>
      <c r="L10" s="23">
        <f>'Cash Flow'!L17-('Cash Flow'!L6+'Cash Flow'!L10-'Cash Flow'!L11+'Cash Flow'!L14-'Cash Flow'!L15)</f>
        <v/>
      </c>
      <c r="M10" s="23">
        <f>'Cash Flow'!M17-('Cash Flow'!M6+'Cash Flow'!M10-'Cash Flow'!M11+'Cash Flow'!M14-'Cash Flow'!M15)</f>
        <v/>
      </c>
      <c r="N10" s="23">
        <f>'Cash Flow'!N17-('Cash Flow'!N6+'Cash Flow'!N10-'Cash Flow'!N11+'Cash Flow'!N14-'Cash Flow'!N15)</f>
        <v/>
      </c>
      <c r="O10" s="23">
        <f>'Cash Flow'!O17-('Cash Flow'!O6+'Cash Flow'!O10-'Cash Flow'!O11+'Cash Flow'!O14-'Cash Flow'!O15)</f>
        <v/>
      </c>
      <c r="P10" s="23">
        <f>'Cash Flow'!P17-('Cash Flow'!P6+'Cash Flow'!P10-'Cash Flow'!P11+'Cash Flow'!P14-'Cash Flow'!P15)</f>
        <v/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  <v/>
      </c>
      <c r="F11" s="23">
        <f>'Cash Flow'!F18-('Cash Flow'!F13+'Cash Flow'!F14-'Cash Flow'!F15)</f>
        <v/>
      </c>
      <c r="G11" s="23">
        <f>'Cash Flow'!G18-('Cash Flow'!G13+'Cash Flow'!G14-'Cash Flow'!G15)</f>
        <v/>
      </c>
      <c r="H11" s="23">
        <f>'Cash Flow'!H18-('Cash Flow'!H13+'Cash Flow'!H14-'Cash Flow'!H15)</f>
        <v/>
      </c>
      <c r="I11" s="23">
        <f>'Cash Flow'!I18-('Cash Flow'!I13+'Cash Flow'!I14-'Cash Flow'!I15)</f>
        <v/>
      </c>
      <c r="J11" s="23">
        <f>'Cash Flow'!J18-('Cash Flow'!J13+'Cash Flow'!J14-'Cash Flow'!J15)</f>
        <v/>
      </c>
      <c r="K11" s="23">
        <f>'Cash Flow'!K18-('Cash Flow'!K13+'Cash Flow'!K14-'Cash Flow'!K15)</f>
        <v/>
      </c>
      <c r="L11" s="23">
        <f>'Cash Flow'!L18-('Cash Flow'!L13+'Cash Flow'!L14-'Cash Flow'!L15)</f>
        <v/>
      </c>
      <c r="M11" s="23">
        <f>'Cash Flow'!M18-('Cash Flow'!M13+'Cash Flow'!M14-'Cash Flow'!M15)</f>
        <v/>
      </c>
      <c r="N11" s="23">
        <f>'Cash Flow'!N18-('Cash Flow'!N13+'Cash Flow'!N14-'Cash Flow'!N15)</f>
        <v/>
      </c>
      <c r="O11" s="23">
        <f>'Cash Flow'!O18-('Cash Flow'!O13+'Cash Flow'!O14-'Cash Flow'!O15)</f>
        <v/>
      </c>
      <c r="P11" s="23">
        <f>'Cash Flow'!P18-('Cash Flow'!P13+'Cash Flow'!P14-'Cash Flow'!P15)</f>
        <v/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  <v/>
      </c>
      <c r="F12" s="23">
        <f>MAX(Drivers!F23-'Cash Flow'!F17,0)</f>
        <v/>
      </c>
      <c r="G12" s="23">
        <f>MAX(Drivers!G23-'Cash Flow'!G17,0)</f>
        <v/>
      </c>
      <c r="H12" s="23">
        <f>MAX(Drivers!H23-'Cash Flow'!H17,0)</f>
        <v/>
      </c>
      <c r="I12" s="23">
        <f>MAX(Drivers!I23-'Cash Flow'!I17,0)</f>
        <v/>
      </c>
      <c r="J12" s="23">
        <f>MAX(Drivers!J23-'Cash Flow'!J17,0)</f>
        <v/>
      </c>
      <c r="K12" s="23">
        <f>MAX(Drivers!K23-'Cash Flow'!K17,0)</f>
        <v/>
      </c>
      <c r="L12" s="23">
        <f>MAX(Drivers!L23-'Cash Flow'!L17,0)</f>
        <v/>
      </c>
      <c r="M12" s="23">
        <f>MAX(Drivers!M23-'Cash Flow'!M17,0)</f>
        <v/>
      </c>
      <c r="N12" s="23">
        <f>MAX(Drivers!N23-'Cash Flow'!N17,0)</f>
        <v/>
      </c>
      <c r="O12" s="23">
        <f>MAX(Drivers!O23-'Cash Flow'!O17,0)</f>
        <v/>
      </c>
      <c r="P12" s="23">
        <f>MAX(Drivers!P23-'Cash Flow'!P17,0)</f>
        <v/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  <v/>
      </c>
      <c r="F13" s="23">
        <f>MIN('Cash Flow'!F14,'Cash Flow'!F15)</f>
        <v/>
      </c>
      <c r="G13" s="23">
        <f>MIN('Cash Flow'!G14,'Cash Flow'!G15)</f>
        <v/>
      </c>
      <c r="H13" s="23">
        <f>MIN('Cash Flow'!H14,'Cash Flow'!H15)</f>
        <v/>
      </c>
      <c r="I13" s="23">
        <f>MIN('Cash Flow'!I14,'Cash Flow'!I15)</f>
        <v/>
      </c>
      <c r="J13" s="23">
        <f>MIN('Cash Flow'!J14,'Cash Flow'!J15)</f>
        <v/>
      </c>
      <c r="K13" s="23">
        <f>MIN('Cash Flow'!K14,'Cash Flow'!K15)</f>
        <v/>
      </c>
      <c r="L13" s="23">
        <f>MIN('Cash Flow'!L14,'Cash Flow'!L15)</f>
        <v/>
      </c>
      <c r="M13" s="23">
        <f>MIN('Cash Flow'!M14,'Cash Flow'!M15)</f>
        <v/>
      </c>
      <c r="N13" s="23">
        <f>MIN('Cash Flow'!N14,'Cash Flow'!N15)</f>
        <v/>
      </c>
      <c r="O13" s="23">
        <f>MIN('Cash Flow'!O14,'Cash Flow'!O15)</f>
        <v/>
      </c>
      <c r="P13" s="23">
        <f>MIN('Cash Flow'!P14,'Cash Flow'!P15)</f>
        <v/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Revenue!E6-Cohorts!E38</f>
        <v/>
      </c>
      <c r="F14" s="23">
        <f>Revenue!F6-Cohorts!F38</f>
        <v/>
      </c>
      <c r="G14" s="23">
        <f>Revenue!G6-Cohorts!G38</f>
        <v/>
      </c>
      <c r="H14" s="23">
        <f>Revenue!H6-Cohorts!H38</f>
        <v/>
      </c>
      <c r="I14" s="23">
        <f>Revenue!I6-Cohorts!I38</f>
        <v/>
      </c>
      <c r="J14" s="23">
        <f>Revenue!J6-Cohorts!J38</f>
        <v/>
      </c>
      <c r="K14" s="23">
        <f>Revenue!K6-Cohorts!K38</f>
        <v/>
      </c>
      <c r="L14" s="23">
        <f>Revenue!L6-Cohorts!L38</f>
        <v/>
      </c>
      <c r="M14" s="23">
        <f>Revenue!M6-Cohorts!M38</f>
        <v/>
      </c>
      <c r="N14" s="23">
        <f>Revenue!N6-Cohorts!N38</f>
        <v/>
      </c>
      <c r="O14" s="23">
        <f>Revenue!O6-Cohorts!O38</f>
        <v/>
      </c>
      <c r="P14" s="23">
        <f>Revenue!P6-Cohorts!P38</f>
        <v/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Revenue!E9-Cohorts!E21</f>
        <v/>
      </c>
      <c r="F15" s="23">
        <f>Revenue!F9-Cohorts!F21</f>
        <v/>
      </c>
      <c r="G15" s="23">
        <f>Revenue!G9-Cohorts!G21</f>
        <v/>
      </c>
      <c r="H15" s="23">
        <f>Revenue!H9-Cohorts!H21</f>
        <v/>
      </c>
      <c r="I15" s="23">
        <f>Revenue!I9-Cohorts!I21</f>
        <v/>
      </c>
      <c r="J15" s="23">
        <f>Revenue!J9-Cohorts!J21</f>
        <v/>
      </c>
      <c r="K15" s="23">
        <f>Revenue!K9-Cohorts!K21</f>
        <v/>
      </c>
      <c r="L15" s="23">
        <f>Revenue!L9-Cohorts!L21</f>
        <v/>
      </c>
      <c r="M15" s="23">
        <f>Revenue!M9-Cohorts!M21</f>
        <v/>
      </c>
      <c r="N15" s="23">
        <f>Revenue!N9-Cohorts!N21</f>
        <v/>
      </c>
      <c r="O15" s="23">
        <f>Revenue!O9-Cohorts!O21</f>
        <v/>
      </c>
      <c r="P15" s="23">
        <f>Revenue!P9-Cohorts!P21</f>
        <v/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Operations</dc:creator>
  <dc:title>Northstar Cloud | FY2026 Forecast</dc:title>
  <dc:description>Synthetic financial data. Deliberately unfinished forecast template.</dc:description>
  <dc:subject>Forecast drivers and schedules with a mid-task methodology change</dc:subject>
  <dcterms:created xsi:type="dcterms:W3CDTF">2026-10-23T14:00:59Z</dcterms:created>
  <dcterms:modified xsi:type="dcterms:W3CDTF">2026-10-23T16:45:28Z</dcterms:modified>
  <cp:lastModifiedBy>Finance Operations</cp:lastModifiedBy>
</cp:coreProperties>
</file>