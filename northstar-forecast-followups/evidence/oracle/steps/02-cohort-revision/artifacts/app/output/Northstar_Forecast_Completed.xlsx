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 Me" sheetId="1" state="visible" r:id="rId1"/>
    <sheet name="Assumptions" sheetId="2" state="visible" r:id="rId2"/>
    <sheet name="Drivers" sheetId="3" state="visible" r:id="rId3"/>
    <sheet name="Historical" sheetId="4" state="visible" r:id="rId4"/>
    <sheet name="Cohorts" sheetId="5" state="visible" r:id="rId5"/>
    <sheet name="Revenue" sheetId="6" state="visible" r:id="rId6"/>
    <sheet name="P&amp;L" sheetId="7" state="visible" r:id="rId7"/>
    <sheet name="Working Capital" sheetId="8" state="visible" r:id="rId8"/>
    <sheet name="Cash Flow" sheetId="9" state="visible" r:id="rId9"/>
    <sheet name="Checks" sheetId="10" state="visible" r:id="rId10"/>
  </sheets>
  <definedNames>
    <definedName name="_xlnm.Print_Titles" localSheetId="0">'Read Me'!$1:$5</definedName>
    <definedName name="_xlnm.Print_Area" localSheetId="0">'Read Me'!$A$1:$S$36</definedName>
    <definedName name="_xlnm.Print_Titles" localSheetId="1">'Assumptions'!$1:$5</definedName>
    <definedName name="_xlnm.Print_Area" localSheetId="1">'Assumptions'!$A$1:$S$32</definedName>
    <definedName name="_xlnm.Print_Titles" localSheetId="2">'Drivers'!$1:$5</definedName>
    <definedName name="_xlnm.Print_Area" localSheetId="2">'Drivers'!$A$1:$S$32</definedName>
    <definedName name="_xlnm.Print_Titles" localSheetId="3">'Historical'!$1:$5</definedName>
    <definedName name="_xlnm.Print_Area" localSheetId="3">'Historical'!$A$1:$S$32</definedName>
    <definedName name="_xlnm.Print_Titles" localSheetId="4">'Cohorts'!$1:$5</definedName>
    <definedName name="_xlnm.Print_Area" localSheetId="4">'Cohorts'!$A$1:$S$45</definedName>
    <definedName name="_xlnm.Print_Titles" localSheetId="5">'Revenue'!$1:$5</definedName>
    <definedName name="_xlnm.Print_Area" localSheetId="5">'Revenue'!$A$1:$S$36</definedName>
    <definedName name="_xlnm.Print_Titles" localSheetId="6">'P&amp;L'!$1:$5</definedName>
    <definedName name="_xlnm.Print_Area" localSheetId="6">'P&amp;L'!$A$1:$S$28</definedName>
    <definedName name="_xlnm.Print_Titles" localSheetId="7">'Working Capital'!$1:$5</definedName>
    <definedName name="_xlnm.Print_Area" localSheetId="7">'Working Capital'!$A$1:$S$25</definedName>
    <definedName name="_xlnm.Print_Titles" localSheetId="8">'Cash Flow'!$1:$5</definedName>
    <definedName name="_xlnm.Print_Area" localSheetId="8">'Cash Flow'!$A$1:$S$30</definedName>
    <definedName name="_xlnm.Print_Titles" localSheetId="9">'Checks'!$1:$5</definedName>
    <definedName name="_xlnm.Print_Area" localSheetId="9">'Checks'!$A$1:$S$27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;[Red](0.0%);&quot;-&quot;"/>
    <numFmt numFmtId="165" formatCode="#,##0.0;[Red](#,##0.0);&quot;-&quot;"/>
    <numFmt numFmtId="166" formatCode="#,##0;[Red](#,##0);&quot;-&quot;"/>
  </numFmts>
  <fonts count="9">
    <font>
      <name val="Calibri"/>
      <family val="2"/>
      <color theme="1"/>
      <sz val="11"/>
      <scheme val="minor"/>
    </font>
    <font>
      <name val="Calibri"/>
      <family val="2"/>
      <b val="1"/>
      <color rgb="FFFFFFFF"/>
      <sz val="21"/>
      <scheme val="minor"/>
    </font>
    <font>
      <name val="Calibri"/>
      <family val="2"/>
      <color rgb="FF64748B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253858"/>
      <sz val="11"/>
      <scheme val="minor"/>
    </font>
    <font>
      <name val="Calibri"/>
      <family val="2"/>
      <color rgb="FF253858"/>
      <sz val="10"/>
      <scheme val="minor"/>
    </font>
    <font>
      <name val="Calibri"/>
      <family val="2"/>
      <color rgb="FF2459A6"/>
      <sz val="10"/>
      <scheme val="minor"/>
    </font>
    <font>
      <name val="Calibri"/>
      <family val="2"/>
      <i val="1"/>
      <color rgb="FF64748B"/>
      <sz val="11"/>
      <scheme val="minor"/>
    </font>
    <font>
      <name val="Tahoma"/>
      <family val="2"/>
      <color indexed="81"/>
      <sz val="8"/>
    </font>
  </fonts>
  <fills count="8">
    <fill>
      <patternFill/>
    </fill>
    <fill>
      <patternFill patternType="gray125"/>
    </fill>
    <fill>
      <patternFill patternType="solid">
        <fgColor rgb="FF172B4D"/>
        <bgColor indexed="64"/>
      </patternFill>
    </fill>
    <fill>
      <patternFill patternType="solid">
        <fgColor rgb="FF007F86"/>
        <bgColor indexed="64"/>
      </patternFill>
    </fill>
    <fill>
      <patternFill patternType="solid">
        <fgColor rgb="FFE9F4F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5F8"/>
        <bgColor indexed="64"/>
      </patternFill>
    </fill>
    <fill>
      <patternFill patternType="solid">
        <fgColor rgb="FFF0F4F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CE3EB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164" fontId="6" fillId="4" borderId="1" pivotButton="0" quotePrefix="0" xfId="0"/>
    <xf numFmtId="165" fontId="6" fillId="4" borderId="1" pivotButton="0" quotePrefix="0" xfId="0"/>
    <xf numFmtId="166" fontId="6" fillId="4" borderId="1" pivotButton="0" quotePrefix="0" xfId="0"/>
    <xf numFmtId="1" fontId="6" fillId="4" borderId="1" pivotButton="0" quotePrefix="0" xfId="0"/>
    <xf numFmtId="0" fontId="7" fillId="0" borderId="0" applyAlignment="1" pivotButton="0" quotePrefix="0" xfId="0">
      <alignment vertical="top" wrapText="1"/>
    </xf>
    <xf numFmtId="164" fontId="6" fillId="5" borderId="1" pivotButton="0" quotePrefix="0" xfId="0"/>
    <xf numFmtId="164" fontId="5" fillId="6" borderId="1" pivotButton="0" quotePrefix="0" xfId="0"/>
    <xf numFmtId="165" fontId="6" fillId="5" borderId="1" pivotButton="0" quotePrefix="0" xfId="0"/>
    <xf numFmtId="165" fontId="5" fillId="6" borderId="1" pivotButton="0" quotePrefix="0" xfId="0"/>
    <xf numFmtId="166" fontId="6" fillId="5" borderId="1" pivotButton="0" quotePrefix="0" xfId="0"/>
    <xf numFmtId="166" fontId="5" fillId="6" borderId="1" pivotButton="0" quotePrefix="0" xfId="0"/>
    <xf numFmtId="1" fontId="6" fillId="5" borderId="1" pivotButton="0" quotePrefix="0" xfId="0"/>
    <xf numFmtId="1" fontId="5" fillId="6" borderId="1" pivotButton="0" quotePrefix="0" xfId="0"/>
    <xf numFmtId="166" fontId="6" fillId="7" borderId="1" pivotButton="0" quotePrefix="0" xfId="0"/>
    <xf numFmtId="165" fontId="6" fillId="7" borderId="1" pivotButton="0" quotePrefix="0" xfId="0"/>
    <xf numFmtId="165" fontId="5" fillId="5" borderId="1" pivotButton="0" quotePrefix="0" xfId="0"/>
    <xf numFmtId="166" fontId="5" fillId="5" borderId="1" pivotButton="0" quotePrefix="0" xfId="0"/>
    <xf numFmtId="164" fontId="5" fillId="5" borderId="1" pivotButton="0" quotePrefix="0" xfId="0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Subscription revenue | Actual + forecast</a:t>
            </a:r>
          </a:p>
        </rich>
      </tx>
      <layout/>
    </title>
    <plotArea>
      <layout/>
      <lineChart>
        <grouping val="standard"/>
        <ser>
          <idx val="0"/>
          <order val="0"/>
          <tx>
            <v>Monthly subscription revenue</v>
          </tx>
          <spPr>
            <a:ln w="31750">
              <a:solidFill>
                <a:srgbClr val="007F8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Revenue!$B$5:$P$5</f>
              <strCache>
                <ptCount val="15"/>
                <pt idx="0">
                  <v>Oct-25</v>
                </pt>
                <pt idx="1">
                  <v>Nov-25</v>
                </pt>
                <pt idx="2">
                  <v>Dec-25</v>
                </pt>
                <pt idx="3">
                  <v>Jan-26</v>
                </pt>
                <pt idx="4">
                  <v>Feb-26</v>
                </pt>
                <pt idx="5">
                  <v>Mar-26</v>
                </pt>
                <pt idx="6">
                  <v>Apr-26</v>
                </pt>
                <pt idx="7">
                  <v>May-26</v>
                </pt>
                <pt idx="8">
                  <v>Jun-26</v>
                </pt>
                <pt idx="9">
                  <v>Jul-26</v>
                </pt>
                <pt idx="10">
                  <v>Aug-26</v>
                </pt>
                <pt idx="11">
                  <v>Sep-26</v>
                </pt>
                <pt idx="12">
                  <v>Oct-26</v>
                </pt>
                <pt idx="13">
                  <v>Nov-26</v>
                </pt>
                <pt idx="14">
                  <v>Dec-26</v>
                </pt>
              </strCache>
            </strRef>
          </cat>
          <val>
            <numRef>
              <f>Revenue!$B$6:$P$6</f>
              <numCache>
                <formatCode>General</formatCode>
                <ptCount val="15"/>
                <pt idx="0">
                  <v>115000</v>
                </pt>
                <pt idx="1">
                  <v>118000</v>
                </pt>
                <pt idx="2">
                  <v>120000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>
          <spPr>
            <a:ln>
              <a:solidFill>
                <a:srgbClr val="E2E8F0"/>
              </a:solidFill>
              <a:prstDash val="solid"/>
            </a:ln>
          </spPr>
        </majorGridlines>
        <numFmt formatCode="$#,##0" sourceLinked="0"/>
        <majorTickMark val="none"/>
        <minorTickMark val="none"/>
        <tickLblPos val="nextTo"/>
        <crossAx val="50010001"/>
        <crosses val="autoZero"/>
        <crossBetween val="between"/>
      </valAx>
    </plotArea>
    <plotVisOnly val="1"/>
    <dispBlanksAs val="gap"/>
  </chart>
  <spPr>
    <a:ln>
      <a:noFill/>
      <a:prstDash val="solid"/>
    </a:ln>
  </spPr>
</chartSpace>
</file>

<file path=xl/comments/comment1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1" authorId="0" shapeId="0">
      <text>
        <t>Completion target. Preserve this cell's format. Follow the active task instructions.</t>
      </text>
    </comment>
    <comment ref="F21" authorId="0" shapeId="0">
      <text>
        <t>Completion target. Preserve this cell's format. Follow the active task instructions.</t>
      </text>
    </comment>
    <comment ref="G21" authorId="0" shapeId="0">
      <text>
        <t>Completion target. Preserve this cell's format. Follow the active task instructions.</t>
      </text>
    </comment>
    <comment ref="H21" authorId="0" shapeId="0">
      <text>
        <t>Completion target. Preserve this cell's format. Follow the active task instructions.</t>
      </text>
    </comment>
    <comment ref="I21" authorId="0" shapeId="0">
      <text>
        <t>Completion target. Preserve this cell's format. Follow the active task instructions.</t>
      </text>
    </comment>
    <comment ref="J21" authorId="0" shapeId="0">
      <text>
        <t>Completion target. Preserve this cell's format. Follow the active task instructions.</t>
      </text>
    </comment>
    <comment ref="K21" authorId="0" shapeId="0">
      <text>
        <t>Completion target. Preserve this cell's format. Follow the active task instructions.</t>
      </text>
    </comment>
    <comment ref="L21" authorId="0" shapeId="0">
      <text>
        <t>Completion target. Preserve this cell's format. Follow the active task instructions.</t>
      </text>
    </comment>
    <comment ref="M21" authorId="0" shapeId="0">
      <text>
        <t>Completion target. Preserve this cell's format. Follow the active task instructions.</t>
      </text>
    </comment>
    <comment ref="N21" authorId="0" shapeId="0">
      <text>
        <t>Completion target. Preserve this cell's format. Follow the active task instructions.</t>
      </text>
    </comment>
    <comment ref="O21" authorId="0" shapeId="0">
      <text>
        <t>Completion target. Preserve this cell's format. Follow the active task instructions.</t>
      </text>
    </comment>
    <comment ref="P21" authorId="0" shapeId="0">
      <text>
        <t>Completion target. Preserve this cell's format. Follow the active task instructions.</t>
      </text>
    </comment>
    <comment ref="E22" authorId="0" shapeId="0">
      <text>
        <t>Completion target. Preserve this cell's format. Follow the active task instructions.</t>
      </text>
    </comment>
    <comment ref="F22" authorId="0" shapeId="0">
      <text>
        <t>Completion target. Preserve this cell's format. Follow the active task instructions.</t>
      </text>
    </comment>
    <comment ref="G22" authorId="0" shapeId="0">
      <text>
        <t>Completion target. Preserve this cell's format. Follow the active task instructions.</t>
      </text>
    </comment>
    <comment ref="H22" authorId="0" shapeId="0">
      <text>
        <t>Completion target. Preserve this cell's format. Follow the active task instructions.</t>
      </text>
    </comment>
    <comment ref="I22" authorId="0" shapeId="0">
      <text>
        <t>Completion target. Preserve this cell's format. Follow the active task instructions.</t>
      </text>
    </comment>
    <comment ref="J22" authorId="0" shapeId="0">
      <text>
        <t>Completion target. Preserve this cell's format. Follow the active task instructions.</t>
      </text>
    </comment>
    <comment ref="K22" authorId="0" shapeId="0">
      <text>
        <t>Completion target. Preserve this cell's format. Follow the active task instructions.</t>
      </text>
    </comment>
    <comment ref="L22" authorId="0" shapeId="0">
      <text>
        <t>Completion target. Preserve this cell's format. Follow the active task instructions.</t>
      </text>
    </comment>
    <comment ref="M22" authorId="0" shapeId="0">
      <text>
        <t>Completion target. Preserve this cell's format. Follow the active task instructions.</t>
      </text>
    </comment>
    <comment ref="N22" authorId="0" shapeId="0">
      <text>
        <t>Completion target. Preserve this cell's format. Follow the active task instructions.</t>
      </text>
    </comment>
    <comment ref="O22" authorId="0" shapeId="0">
      <text>
        <t>Completion target. Preserve this cell's format. Follow the active task instructions.</t>
      </text>
    </comment>
    <comment ref="P22" authorId="0" shapeId="0">
      <text>
        <t>Completion target. Preserve this cell's format. Follow the active task instructions.</t>
      </text>
    </comment>
    <comment ref="E23" authorId="0" shapeId="0">
      <text>
        <t>Completion target. Preserve this cell's format. Follow the active task instructions.</t>
      </text>
    </comment>
    <comment ref="F23" authorId="0" shapeId="0">
      <text>
        <t>Completion target. Preserve this cell's format. Follow the active task instructions.</t>
      </text>
    </comment>
    <comment ref="G23" authorId="0" shapeId="0">
      <text>
        <t>Completion target. Preserve this cell's format. Follow the active task instructions.</t>
      </text>
    </comment>
    <comment ref="H23" authorId="0" shapeId="0">
      <text>
        <t>Completion target. Preserve this cell's format. Follow the active task instructions.</t>
      </text>
    </comment>
    <comment ref="I23" authorId="0" shapeId="0">
      <text>
        <t>Completion target. Preserve this cell's format. Follow the active task instructions.</t>
      </text>
    </comment>
    <comment ref="J23" authorId="0" shapeId="0">
      <text>
        <t>Completion target. Preserve this cell's format. Follow the active task instructions.</t>
      </text>
    </comment>
    <comment ref="K23" authorId="0" shapeId="0">
      <text>
        <t>Completion target. Preserve this cell's format. Follow the active task instructions.</t>
      </text>
    </comment>
    <comment ref="L23" authorId="0" shapeId="0">
      <text>
        <t>Completion target. Preserve this cell's format. Follow the active task instructions.</t>
      </text>
    </comment>
    <comment ref="M23" authorId="0" shapeId="0">
      <text>
        <t>Completion target. Preserve this cell's format. Follow the active task instructions.</t>
      </text>
    </comment>
    <comment ref="N23" authorId="0" shapeId="0">
      <text>
        <t>Completion target. Preserve this cell's format. Follow the active task instructions.</t>
      </text>
    </comment>
    <comment ref="O23" authorId="0" shapeId="0">
      <text>
        <t>Completion target. Preserve this cell's format. Follow the active task instructions.</t>
      </text>
    </comment>
    <comment ref="P23" authorId="0" shapeId="0">
      <text>
        <t>Completion target. Preserve this cell's format. Follow the active task instructions.</t>
      </text>
    </comment>
    <comment ref="E24" authorId="0" shapeId="0">
      <text>
        <t>Completion target. Preserve this cell's format. Follow the active task instructions.</t>
      </text>
    </comment>
    <comment ref="F24" authorId="0" shapeId="0">
      <text>
        <t>Completion target. Preserve this cell's format. Follow the active task instructions.</t>
      </text>
    </comment>
    <comment ref="G24" authorId="0" shapeId="0">
      <text>
        <t>Completion target. Preserve this cell's format. Follow the active task instructions.</t>
      </text>
    </comment>
    <comment ref="H24" authorId="0" shapeId="0">
      <text>
        <t>Completion target. Preserve this cell's format. Follow the active task instructions.</t>
      </text>
    </comment>
    <comment ref="I24" authorId="0" shapeId="0">
      <text>
        <t>Completion target. Preserve this cell's format. Follow the active task instructions.</t>
      </text>
    </comment>
    <comment ref="J24" authorId="0" shapeId="0">
      <text>
        <t>Completion target. Preserve this cell's format. Follow the active task instructions.</t>
      </text>
    </comment>
    <comment ref="K24" authorId="0" shapeId="0">
      <text>
        <t>Completion target. Preserve this cell's format. Follow the active task instructions.</t>
      </text>
    </comment>
    <comment ref="L24" authorId="0" shapeId="0">
      <text>
        <t>Completion target. Preserve this cell's format. Follow the active task instructions.</t>
      </text>
    </comment>
    <comment ref="M24" authorId="0" shapeId="0">
      <text>
        <t>Completion target. Preserve this cell's format. Follow the active task instructions.</t>
      </text>
    </comment>
    <comment ref="N24" authorId="0" shapeId="0">
      <text>
        <t>Completion target. Preserve this cell's format. Follow the active task instructions.</t>
      </text>
    </comment>
    <comment ref="O24" authorId="0" shapeId="0">
      <text>
        <t>Completion target. Preserve this cell's format. Follow the active task instructions.</t>
      </text>
    </comment>
    <comment ref="P24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</commentList>
</comments>
</file>

<file path=xl/comments/comment2.xml><?xml version="1.0" encoding="utf-8"?>
<comments xmlns="http://schemas.openxmlformats.org/spreadsheetml/2006/main">
  <authors>
    <author>Finance Ops</author>
  </authors>
  <commentLis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  <comment ref="E26" authorId="0" shapeId="0">
      <text>
        <t>Completion target. Preserve this cell's format. Follow the active task instructions.</t>
      </text>
    </comment>
    <comment ref="F26" authorId="0" shapeId="0">
      <text>
        <t>Completion target. Preserve this cell's format. Follow the active task instructions.</t>
      </text>
    </comment>
    <comment ref="G26" authorId="0" shapeId="0">
      <text>
        <t>Completion target. Preserve this cell's format. Follow the active task instructions.</t>
      </text>
    </comment>
    <comment ref="H26" authorId="0" shapeId="0">
      <text>
        <t>Completion target. Preserve this cell's format. Follow the active task instructions.</t>
      </text>
    </comment>
    <comment ref="I26" authorId="0" shapeId="0">
      <text>
        <t>Completion target. Preserve this cell's format. Follow the active task instructions.</t>
      </text>
    </comment>
    <comment ref="J26" authorId="0" shapeId="0">
      <text>
        <t>Completion target. Preserve this cell's format. Follow the active task instructions.</t>
      </text>
    </comment>
    <comment ref="K26" authorId="0" shapeId="0">
      <text>
        <t>Completion target. Preserve this cell's format. Follow the active task instructions.</t>
      </text>
    </comment>
    <comment ref="L26" authorId="0" shapeId="0">
      <text>
        <t>Completion target. Preserve this cell's format. Follow the active task instructions.</t>
      </text>
    </comment>
    <comment ref="M26" authorId="0" shapeId="0">
      <text>
        <t>Completion target. Preserve this cell's format. Follow the active task instructions.</t>
      </text>
    </comment>
    <comment ref="N26" authorId="0" shapeId="0">
      <text>
        <t>Completion target. Preserve this cell's format. Follow the active task instructions.</t>
      </text>
    </comment>
    <comment ref="O26" authorId="0" shapeId="0">
      <text>
        <t>Completion target. Preserve this cell's format. Follow the active task instructions.</t>
      </text>
    </comment>
    <comment ref="P26" authorId="0" shapeId="0">
      <text>
        <t>Completion target. Preserve this cell's format. Follow the active task instructions.</t>
      </text>
    </comment>
    <comment ref="E27" authorId="0" shapeId="0">
      <text>
        <t>Completion target. Preserve this cell's format. Follow the active task instructions.</t>
      </text>
    </comment>
    <comment ref="F27" authorId="0" shapeId="0">
      <text>
        <t>Completion target. Preserve this cell's format. Follow the active task instructions.</t>
      </text>
    </comment>
    <comment ref="G27" authorId="0" shapeId="0">
      <text>
        <t>Completion target. Preserve this cell's format. Follow the active task instructions.</t>
      </text>
    </comment>
    <comment ref="H27" authorId="0" shapeId="0">
      <text>
        <t>Completion target. Preserve this cell's format. Follow the active task instructions.</t>
      </text>
    </comment>
    <comment ref="I27" authorId="0" shapeId="0">
      <text>
        <t>Completion target. Preserve this cell's format. Follow the active task instructions.</t>
      </text>
    </comment>
    <comment ref="J27" authorId="0" shapeId="0">
      <text>
        <t>Completion target. Preserve this cell's format. Follow the active task instructions.</t>
      </text>
    </comment>
    <comment ref="K27" authorId="0" shapeId="0">
      <text>
        <t>Completion target. Preserve this cell's format. Follow the active task instructions.</t>
      </text>
    </comment>
    <comment ref="L27" authorId="0" shapeId="0">
      <text>
        <t>Completion target. Preserve this cell's format. Follow the active task instructions.</t>
      </text>
    </comment>
    <comment ref="M27" authorId="0" shapeId="0">
      <text>
        <t>Completion target. Preserve this cell's format. Follow the active task instructions.</t>
      </text>
    </comment>
    <comment ref="N27" authorId="0" shapeId="0">
      <text>
        <t>Completion target. Preserve this cell's format. Follow the active task instructions.</t>
      </text>
    </comment>
    <comment ref="O27" authorId="0" shapeId="0">
      <text>
        <t>Completion target. Preserve this cell's format. Follow the active task instructions.</t>
      </text>
    </comment>
    <comment ref="P27" authorId="0" shapeId="0">
      <text>
        <t>Completion target. Preserve this cell's format. Follow the active task instructions.</t>
      </text>
    </comment>
    <comment ref="E28" authorId="0" shapeId="0">
      <text>
        <t>Completion target. Preserve this cell's format. Follow the active task instructions.</t>
      </text>
    </comment>
    <comment ref="F28" authorId="0" shapeId="0">
      <text>
        <t>Completion target. Preserve this cell's format. Follow the active task instructions.</t>
      </text>
    </comment>
    <comment ref="G28" authorId="0" shapeId="0">
      <text>
        <t>Completion target. Preserve this cell's format. Follow the active task instructions.</t>
      </text>
    </comment>
    <comment ref="H28" authorId="0" shapeId="0">
      <text>
        <t>Completion target. Preserve this cell's format. Follow the active task instructions.</t>
      </text>
    </comment>
    <comment ref="I28" authorId="0" shapeId="0">
      <text>
        <t>Completion target. Preserve this cell's format. Follow the active task instructions.</t>
      </text>
    </comment>
    <comment ref="J28" authorId="0" shapeId="0">
      <text>
        <t>Completion target. Preserve this cell's format. Follow the active task instructions.</t>
      </text>
    </comment>
    <comment ref="K28" authorId="0" shapeId="0">
      <text>
        <t>Completion target. Preserve this cell's format. Follow the active task instructions.</t>
      </text>
    </comment>
    <comment ref="L28" authorId="0" shapeId="0">
      <text>
        <t>Completion target. Preserve this cell's format. Follow the active task instructions.</t>
      </text>
    </comment>
    <comment ref="M28" authorId="0" shapeId="0">
      <text>
        <t>Completion target. Preserve this cell's format. Follow the active task instructions.</t>
      </text>
    </comment>
    <comment ref="N28" authorId="0" shapeId="0">
      <text>
        <t>Completion target. Preserve this cell's format. Follow the active task instructions.</t>
      </text>
    </comment>
    <comment ref="O28" authorId="0" shapeId="0">
      <text>
        <t>Completion target. Preserve this cell's format. Follow the active task instructions.</t>
      </text>
    </comment>
    <comment ref="P28" authorId="0" shapeId="0">
      <text>
        <t>Completion target. Preserve this cell's format. Follow the active task instructions.</t>
      </text>
    </comment>
    <comment ref="E29" authorId="0" shapeId="0">
      <text>
        <t>Completion target. Preserve this cell's format. Follow the active task instructions.</t>
      </text>
    </comment>
    <comment ref="F29" authorId="0" shapeId="0">
      <text>
        <t>Completion target. Preserve this cell's format. Follow the active task instructions.</t>
      </text>
    </comment>
    <comment ref="G29" authorId="0" shapeId="0">
      <text>
        <t>Completion target. Preserve this cell's format. Follow the active task instructions.</t>
      </text>
    </comment>
    <comment ref="H29" authorId="0" shapeId="0">
      <text>
        <t>Completion target. Preserve this cell's format. Follow the active task instructions.</t>
      </text>
    </comment>
    <comment ref="I29" authorId="0" shapeId="0">
      <text>
        <t>Completion target. Preserve this cell's format. Follow the active task instructions.</t>
      </text>
    </comment>
    <comment ref="J29" authorId="0" shapeId="0">
      <text>
        <t>Completion target. Preserve this cell's format. Follow the active task instructions.</t>
      </text>
    </comment>
    <comment ref="K29" authorId="0" shapeId="0">
      <text>
        <t>Completion target. Preserve this cell's format. Follow the active task instructions.</t>
      </text>
    </comment>
    <comment ref="L29" authorId="0" shapeId="0">
      <text>
        <t>Completion target. Preserve this cell's format. Follow the active task instructions.</t>
      </text>
    </comment>
    <comment ref="M29" authorId="0" shapeId="0">
      <text>
        <t>Completion target. Preserve this cell's format. Follow the active task instructions.</t>
      </text>
    </comment>
    <comment ref="N29" authorId="0" shapeId="0">
      <text>
        <t>Completion target. Preserve this cell's format. Follow the active task instructions.</t>
      </text>
    </comment>
    <comment ref="O29" authorId="0" shapeId="0">
      <text>
        <t>Completion target. Preserve this cell's format. Follow the active task instructions.</t>
      </text>
    </comment>
    <comment ref="P29" authorId="0" shapeId="0">
      <text>
        <t>Completion target. Preserve this cell's format. Follow the active task instructions.</t>
      </text>
    </comment>
    <comment ref="E30" authorId="0" shapeId="0">
      <text>
        <t>Completion target. Preserve this cell's format. Follow the active task instructions.</t>
      </text>
    </comment>
    <comment ref="F30" authorId="0" shapeId="0">
      <text>
        <t>Completion target. Preserve this cell's format. Follow the active task instructions.</t>
      </text>
    </comment>
    <comment ref="G30" authorId="0" shapeId="0">
      <text>
        <t>Completion target. Preserve this cell's format. Follow the active task instructions.</t>
      </text>
    </comment>
    <comment ref="H30" authorId="0" shapeId="0">
      <text>
        <t>Completion target. Preserve this cell's format. Follow the active task instructions.</t>
      </text>
    </comment>
    <comment ref="I30" authorId="0" shapeId="0">
      <text>
        <t>Completion target. Preserve this cell's format. Follow the active task instructions.</t>
      </text>
    </comment>
    <comment ref="J30" authorId="0" shapeId="0">
      <text>
        <t>Completion target. Preserve this cell's format. Follow the active task instructions.</t>
      </text>
    </comment>
    <comment ref="K30" authorId="0" shapeId="0">
      <text>
        <t>Completion target. Preserve this cell's format. Follow the active task instructions.</t>
      </text>
    </comment>
    <comment ref="L30" authorId="0" shapeId="0">
      <text>
        <t>Completion target. Preserve this cell's format. Follow the active task instructions.</t>
      </text>
    </comment>
    <comment ref="M30" authorId="0" shapeId="0">
      <text>
        <t>Completion target. Preserve this cell's format. Follow the active task instructions.</t>
      </text>
    </comment>
    <comment ref="N30" authorId="0" shapeId="0">
      <text>
        <t>Completion target. Preserve this cell's format. Follow the active task instructions.</t>
      </text>
    </comment>
    <comment ref="O30" authorId="0" shapeId="0">
      <text>
        <t>Completion target. Preserve this cell's format. Follow the active task instructions.</t>
      </text>
    </comment>
    <comment ref="P30" authorId="0" shapeId="0">
      <text>
        <t>Completion target. Preserve this cell's format. Follow the active task instructions.</t>
      </text>
    </comment>
    <comment ref="E31" authorId="0" shapeId="0">
      <text>
        <t>Completion target. Preserve this cell's format. Follow the active task instructions.</t>
      </text>
    </comment>
    <comment ref="F31" authorId="0" shapeId="0">
      <text>
        <t>Completion target. Preserve this cell's format. Follow the active task instructions.</t>
      </text>
    </comment>
    <comment ref="G31" authorId="0" shapeId="0">
      <text>
        <t>Completion target. Preserve this cell's format. Follow the active task instructions.</t>
      </text>
    </comment>
    <comment ref="H31" authorId="0" shapeId="0">
      <text>
        <t>Completion target. Preserve this cell's format. Follow the active task instructions.</t>
      </text>
    </comment>
    <comment ref="I31" authorId="0" shapeId="0">
      <text>
        <t>Completion target. Preserve this cell's format. Follow the active task instructions.</t>
      </text>
    </comment>
    <comment ref="J31" authorId="0" shapeId="0">
      <text>
        <t>Completion target. Preserve this cell's format. Follow the active task instructions.</t>
      </text>
    </comment>
    <comment ref="K31" authorId="0" shapeId="0">
      <text>
        <t>Completion target. Preserve this cell's format. Follow the active task instructions.</t>
      </text>
    </comment>
    <comment ref="L31" authorId="0" shapeId="0">
      <text>
        <t>Completion target. Preserve this cell's format. Follow the active task instructions.</t>
      </text>
    </comment>
    <comment ref="M31" authorId="0" shapeId="0">
      <text>
        <t>Completion target. Preserve this cell's format. Follow the active task instructions.</t>
      </text>
    </comment>
    <comment ref="N31" authorId="0" shapeId="0">
      <text>
        <t>Completion target. Preserve this cell's format. Follow the active task instructions.</t>
      </text>
    </comment>
    <comment ref="O31" authorId="0" shapeId="0">
      <text>
        <t>Completion target. Preserve this cell's format. Follow the active task instructions.</t>
      </text>
    </comment>
    <comment ref="P31" authorId="0" shapeId="0">
      <text>
        <t>Completion target. Preserve this cell's format. Follow the active task instructions.</t>
      </text>
    </comment>
    <comment ref="E32" authorId="0" shapeId="0">
      <text>
        <t>Completion target. Preserve this cell's format. Follow the active task instructions.</t>
      </text>
    </comment>
    <comment ref="F32" authorId="0" shapeId="0">
      <text>
        <t>Completion target. Preserve this cell's format. Follow the active task instructions.</t>
      </text>
    </comment>
    <comment ref="G32" authorId="0" shapeId="0">
      <text>
        <t>Completion target. Preserve this cell's format. Follow the active task instructions.</t>
      </text>
    </comment>
    <comment ref="H32" authorId="0" shapeId="0">
      <text>
        <t>Completion target. Preserve this cell's format. Follow the active task instructions.</t>
      </text>
    </comment>
    <comment ref="I32" authorId="0" shapeId="0">
      <text>
        <t>Completion target. Preserve this cell's format. Follow the active task instructions.</t>
      </text>
    </comment>
    <comment ref="J32" authorId="0" shapeId="0">
      <text>
        <t>Completion target. Preserve this cell's format. Follow the active task instructions.</t>
      </text>
    </comment>
    <comment ref="K32" authorId="0" shapeId="0">
      <text>
        <t>Completion target. Preserve this cell's format. Follow the active task instructions.</t>
      </text>
    </comment>
    <comment ref="L32" authorId="0" shapeId="0">
      <text>
        <t>Completion target. Preserve this cell's format. Follow the active task instructions.</t>
      </text>
    </comment>
    <comment ref="M32" authorId="0" shapeId="0">
      <text>
        <t>Completion target. Preserve this cell's format. Follow the active task instructions.</t>
      </text>
    </comment>
    <comment ref="N32" authorId="0" shapeId="0">
      <text>
        <t>Completion target. Preserve this cell's format. Follow the active task instructions.</t>
      </text>
    </comment>
    <comment ref="O32" authorId="0" shapeId="0">
      <text>
        <t>Completion target. Preserve this cell's format. Follow the active task instructions.</t>
      </text>
    </comment>
    <comment ref="P32" authorId="0" shapeId="0">
      <text>
        <t>Completion target. Preserve this cell's format. Follow the active task instructions.</t>
      </text>
    </comment>
    <comment ref="E33" authorId="0" shapeId="0">
      <text>
        <t>Completion target. Preserve this cell's format. Follow the active task instructions.</t>
      </text>
    </comment>
    <comment ref="F33" authorId="0" shapeId="0">
      <text>
        <t>Completion target. Preserve this cell's format. Follow the active task instructions.</t>
      </text>
    </comment>
    <comment ref="G33" authorId="0" shapeId="0">
      <text>
        <t>Completion target. Preserve this cell's format. Follow the active task instructions.</t>
      </text>
    </comment>
    <comment ref="H33" authorId="0" shapeId="0">
      <text>
        <t>Completion target. Preserve this cell's format. Follow the active task instructions.</t>
      </text>
    </comment>
    <comment ref="I33" authorId="0" shapeId="0">
      <text>
        <t>Completion target. Preserve this cell's format. Follow the active task instructions.</t>
      </text>
    </comment>
    <comment ref="J33" authorId="0" shapeId="0">
      <text>
        <t>Completion target. Preserve this cell's format. Follow the active task instructions.</t>
      </text>
    </comment>
    <comment ref="K33" authorId="0" shapeId="0">
      <text>
        <t>Completion target. Preserve this cell's format. Follow the active task instructions.</t>
      </text>
    </comment>
    <comment ref="L33" authorId="0" shapeId="0">
      <text>
        <t>Completion target. Preserve this cell's format. Follow the active task instructions.</t>
      </text>
    </comment>
    <comment ref="M33" authorId="0" shapeId="0">
      <text>
        <t>Completion target. Preserve this cell's format. Follow the active task instructions.</t>
      </text>
    </comment>
    <comment ref="N33" authorId="0" shapeId="0">
      <text>
        <t>Completion target. Preserve this cell's format. Follow the active task instructions.</t>
      </text>
    </comment>
    <comment ref="O33" authorId="0" shapeId="0">
      <text>
        <t>Completion target. Preserve this cell's format. Follow the active task instructions.</t>
      </text>
    </comment>
    <comment ref="P33" authorId="0" shapeId="0">
      <text>
        <t>Completion target. Preserve this cell's format. Follow the active task instructions.</t>
      </text>
    </comment>
    <comment ref="E34" authorId="0" shapeId="0">
      <text>
        <t>Completion target. Preserve this cell's format. Follow the active task instructions.</t>
      </text>
    </comment>
    <comment ref="F34" authorId="0" shapeId="0">
      <text>
        <t>Completion target. Preserve this cell's format. Follow the active task instructions.</t>
      </text>
    </comment>
    <comment ref="G34" authorId="0" shapeId="0">
      <text>
        <t>Completion target. Preserve this cell's format. Follow the active task instructions.</t>
      </text>
    </comment>
    <comment ref="H34" authorId="0" shapeId="0">
      <text>
        <t>Completion target. Preserve this cell's format. Follow the active task instructions.</t>
      </text>
    </comment>
    <comment ref="I34" authorId="0" shapeId="0">
      <text>
        <t>Completion target. Preserve this cell's format. Follow the active task instructions.</t>
      </text>
    </comment>
    <comment ref="J34" authorId="0" shapeId="0">
      <text>
        <t>Completion target. Preserve this cell's format. Follow the active task instructions.</t>
      </text>
    </comment>
    <comment ref="K34" authorId="0" shapeId="0">
      <text>
        <t>Completion target. Preserve this cell's format. Follow the active task instructions.</t>
      </text>
    </comment>
    <comment ref="L34" authorId="0" shapeId="0">
      <text>
        <t>Completion target. Preserve this cell's format. Follow the active task instructions.</t>
      </text>
    </comment>
    <comment ref="M34" authorId="0" shapeId="0">
      <text>
        <t>Completion target. Preserve this cell's format. Follow the active task instructions.</t>
      </text>
    </comment>
    <comment ref="N34" authorId="0" shapeId="0">
      <text>
        <t>Completion target. Preserve this cell's format. Follow the active task instructions.</t>
      </text>
    </comment>
    <comment ref="O34" authorId="0" shapeId="0">
      <text>
        <t>Completion target. Preserve this cell's format. Follow the active task instructions.</t>
      </text>
    </comment>
    <comment ref="P34" authorId="0" shapeId="0">
      <text>
        <t>Completion target. Preserve this cell's format. Follow the active task instructions.</t>
      </text>
    </comment>
    <comment ref="E35" authorId="0" shapeId="0">
      <text>
        <t>Completion target. Preserve this cell's format. Follow the active task instructions.</t>
      </text>
    </comment>
    <comment ref="F35" authorId="0" shapeId="0">
      <text>
        <t>Completion target. Preserve this cell's format. Follow the active task instructions.</t>
      </text>
    </comment>
    <comment ref="G35" authorId="0" shapeId="0">
      <text>
        <t>Completion target. Preserve this cell's format. Follow the active task instructions.</t>
      </text>
    </comment>
    <comment ref="H35" authorId="0" shapeId="0">
      <text>
        <t>Completion target. Preserve this cell's format. Follow the active task instructions.</t>
      </text>
    </comment>
    <comment ref="I35" authorId="0" shapeId="0">
      <text>
        <t>Completion target. Preserve this cell's format. Follow the active task instructions.</t>
      </text>
    </comment>
    <comment ref="J35" authorId="0" shapeId="0">
      <text>
        <t>Completion target. Preserve this cell's format. Follow the active task instructions.</t>
      </text>
    </comment>
    <comment ref="K35" authorId="0" shapeId="0">
      <text>
        <t>Completion target. Preserve this cell's format. Follow the active task instructions.</t>
      </text>
    </comment>
    <comment ref="L35" authorId="0" shapeId="0">
      <text>
        <t>Completion target. Preserve this cell's format. Follow the active task instructions.</t>
      </text>
    </comment>
    <comment ref="M35" authorId="0" shapeId="0">
      <text>
        <t>Completion target. Preserve this cell's format. Follow the active task instructions.</t>
      </text>
    </comment>
    <comment ref="N35" authorId="0" shapeId="0">
      <text>
        <t>Completion target. Preserve this cell's format. Follow the active task instructions.</t>
      </text>
    </comment>
    <comment ref="O35" authorId="0" shapeId="0">
      <text>
        <t>Completion target. Preserve this cell's format. Follow the active task instructions.</t>
      </text>
    </comment>
    <comment ref="P35" authorId="0" shapeId="0">
      <text>
        <t>Completion target. Preserve this cell's format. Follow the active task instructions.</t>
      </text>
    </comment>
    <comment ref="E36" authorId="0" shapeId="0">
      <text>
        <t>Completion target. Preserve this cell's format. Follow the active task instructions.</t>
      </text>
    </comment>
    <comment ref="F36" authorId="0" shapeId="0">
      <text>
        <t>Completion target. Preserve this cell's format. Follow the active task instructions.</t>
      </text>
    </comment>
    <comment ref="G36" authorId="0" shapeId="0">
      <text>
        <t>Completion target. Preserve this cell's format. Follow the active task instructions.</t>
      </text>
    </comment>
    <comment ref="H36" authorId="0" shapeId="0">
      <text>
        <t>Completion target. Preserve this cell's format. Follow the active task instructions.</t>
      </text>
    </comment>
    <comment ref="I36" authorId="0" shapeId="0">
      <text>
        <t>Completion target. Preserve this cell's format. Follow the active task instructions.</t>
      </text>
    </comment>
    <comment ref="J36" authorId="0" shapeId="0">
      <text>
        <t>Completion target. Preserve this cell's format. Follow the active task instructions.</t>
      </text>
    </comment>
    <comment ref="K36" authorId="0" shapeId="0">
      <text>
        <t>Completion target. Preserve this cell's format. Follow the active task instructions.</t>
      </text>
    </comment>
    <comment ref="L36" authorId="0" shapeId="0">
      <text>
        <t>Completion target. Preserve this cell's format. Follow the active task instructions.</t>
      </text>
    </comment>
    <comment ref="M36" authorId="0" shapeId="0">
      <text>
        <t>Completion target. Preserve this cell's format. Follow the active task instructions.</t>
      </text>
    </comment>
    <comment ref="N36" authorId="0" shapeId="0">
      <text>
        <t>Completion target. Preserve this cell's format. Follow the active task instructions.</t>
      </text>
    </comment>
    <comment ref="O36" authorId="0" shapeId="0">
      <text>
        <t>Completion target. Preserve this cell's format. Follow the active task instructions.</t>
      </text>
    </comment>
    <comment ref="P36" authorId="0" shapeId="0">
      <text>
        <t>Completion target. Preserve this cell's format. Follow the active task instructions.</t>
      </text>
    </comment>
    <comment ref="E37" authorId="0" shapeId="0">
      <text>
        <t>Completion target. Preserve this cell's format. Follow the active task instructions.</t>
      </text>
    </comment>
    <comment ref="F37" authorId="0" shapeId="0">
      <text>
        <t>Completion target. Preserve this cell's format. Follow the active task instructions.</t>
      </text>
    </comment>
    <comment ref="G37" authorId="0" shapeId="0">
      <text>
        <t>Completion target. Preserve this cell's format. Follow the active task instructions.</t>
      </text>
    </comment>
    <comment ref="H37" authorId="0" shapeId="0">
      <text>
        <t>Completion target. Preserve this cell's format. Follow the active task instructions.</t>
      </text>
    </comment>
    <comment ref="I37" authorId="0" shapeId="0">
      <text>
        <t>Completion target. Preserve this cell's format. Follow the active task instructions.</t>
      </text>
    </comment>
    <comment ref="J37" authorId="0" shapeId="0">
      <text>
        <t>Completion target. Preserve this cell's format. Follow the active task instructions.</t>
      </text>
    </comment>
    <comment ref="K37" authorId="0" shapeId="0">
      <text>
        <t>Completion target. Preserve this cell's format. Follow the active task instructions.</t>
      </text>
    </comment>
    <comment ref="L37" authorId="0" shapeId="0">
      <text>
        <t>Completion target. Preserve this cell's format. Follow the active task instructions.</t>
      </text>
    </comment>
    <comment ref="M37" authorId="0" shapeId="0">
      <text>
        <t>Completion target. Preserve this cell's format. Follow the active task instructions.</t>
      </text>
    </comment>
    <comment ref="N37" authorId="0" shapeId="0">
      <text>
        <t>Completion target. Preserve this cell's format. Follow the active task instructions.</t>
      </text>
    </comment>
    <comment ref="O37" authorId="0" shapeId="0">
      <text>
        <t>Completion target. Preserve this cell's format. Follow the active task instructions.</t>
      </text>
    </comment>
    <comment ref="P37" authorId="0" shapeId="0">
      <text>
        <t>Completion target. Preserve this cell's format. Follow the active task instructions.</t>
      </text>
    </comment>
  </commentList>
</comments>
</file>

<file path=xl/comments/comment3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</commentList>
</comments>
</file>

<file path=xl/comments/comment4.xml><?xml version="1.0" encoding="utf-8"?>
<comments xmlns="http://schemas.openxmlformats.org/spreadsheetml/2006/main">
  <authors>
    <author>Finance Ops</author>
  </authors>
  <commentLis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</commentList>
</comments>
</file>

<file path=xl/comments/comment5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</commentList>
</comments>
</file>

<file path=xl/comments/comment6.xml><?xml version="1.0" encoding="utf-8"?>
<comments xmlns="http://schemas.openxmlformats.org/spreadsheetml/2006/main">
  <authors>
    <author>Finance Ops</author>
  </authors>
  <commentLis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</commentList>
</comments>
</file>

<file path=xl/comments/comment7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0</colOff>
      <row>13</row>
      <rowOff>0</rowOff>
    </from>
    <to>
      <col>6</col>
      <colOff>457200</colOff>
      <row>25</row>
      <rowOff>180975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sheet1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32"/>
  <sheetViews>
    <sheetView showGridLines="0" tabSelected="1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READ ME</t>
        </is>
      </c>
    </row>
    <row r="2" ht="17" customHeight="1"/>
    <row r="3" ht="23" customHeight="1">
      <c r="A3" s="2" t="inlineStr">
        <is>
          <t>STARTER FILE | Yellow cells are deliberately unfinished. Do not restyle the model.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7">
      <c r="A7" s="4" t="inlineStr">
        <is>
          <t>Forecast completion exercise / controlled change of direction</t>
        </is>
      </c>
    </row>
    <row r="8"/>
    <row r="10">
      <c r="A10" s="5" t="inlineStr">
        <is>
          <t>Complete the current finance request provided in the Harbor instruction. This engagement may include later follow-ups. Do not anticipate unissued changes. Keep task-owned formulas editable and preserve the supplied presentation.</t>
        </is>
      </c>
    </row>
    <row r="11"/>
    <row r="12"/>
    <row r="14">
      <c r="A14" s="5" t="inlineStr">
        <is>
          <t>COLOR KEY: pale blue = historical actuals; green = fixed source assumptions; yellow with blue text = driver inputs; yellow with dark text = formula completion areas; gray = existing formulas (preserve). Blank yellow cells are intentional, not missing data.</t>
        </is>
      </c>
    </row>
    <row r="15"/>
    <row r="16"/>
    <row r="18">
      <c r="A18" s="5" t="inlineStr">
        <is>
          <t>MODEL FLOW: Assumptions -&gt; Drivers -&gt; Revenue / Cohorts -&gt; P&amp;L -&gt; Working Capital -&gt; Cash Flow -&gt; Checks. Historical holds Oct-Dec 2025 actuals. The active instruction determines which forecast method and completion areas apply.</t>
        </is>
      </c>
    </row>
    <row r="19"/>
    <row r="20"/>
    <row r="22">
      <c r="A22" s="5" t="inlineStr">
        <is>
          <t>PRESERVE: sheet names/order; row/column positions; number formats; fonts/fills/borders; merged cells; dimensions; freeze panes; validations; comments; print settings; chart; conditional formatting and pre-existing formulas. Only write designated yellow cells.</t>
        </is>
      </c>
    </row>
    <row r="23"/>
    <row r="24"/>
    <row r="26">
      <c r="A26" s="5" t="inlineStr">
        <is>
          <t>Data is entirely synthetic. Monthly customer counts are expected values and may be fractional. Do not round intermediate calculations. Existing formulas show blanks until their source schedules are complete. FY26 / Exit is a full-year sum for flows and December for balances, rates and counts.</t>
        </is>
      </c>
    </row>
    <row r="27"/>
    <row r="28"/>
    <row r="30">
      <c r="A30" s="5" t="inlineStr">
        <is>
          <t>Save /app/output/Northstar_Forecast_Completed.xlsx and /app/output/handoff.json. Cached formula results are optional; a disposable copy is recalculated by the verifier. Only the active instruction and any subsequently issued revision determine acceptance.</t>
        </is>
      </c>
    </row>
    <row r="31"/>
    <row r="32"/>
  </sheetData>
  <mergeCells count="9">
    <mergeCell ref="A26:Q28"/>
    <mergeCell ref="A30:Q32"/>
    <mergeCell ref="A3:Q3"/>
    <mergeCell ref="A10:Q12"/>
    <mergeCell ref="A7:Q8"/>
    <mergeCell ref="A14:Q16"/>
    <mergeCell ref="A22:Q24"/>
    <mergeCell ref="A18:Q20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2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ASSUMPTIONS</t>
        </is>
      </c>
    </row>
    <row r="2" ht="17" customHeight="1"/>
    <row r="3" ht="23" customHeight="1">
      <c r="A3" s="2" t="inlineStr">
        <is>
          <t>FIXED SOURCE DATA | Copy the forecast assumptions into Drivers; do not change this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7" t="n">
        <v>0.025</v>
      </c>
      <c r="F6" s="7" t="n">
        <v>0.025</v>
      </c>
      <c r="G6" s="7" t="n">
        <v>0.03</v>
      </c>
      <c r="H6" s="7" t="n">
        <v>0.03</v>
      </c>
      <c r="I6" s="7" t="n">
        <v>0.035</v>
      </c>
      <c r="J6" s="7" t="n">
        <v>0.035</v>
      </c>
      <c r="K6" s="7" t="n">
        <v>0.03</v>
      </c>
      <c r="L6" s="7" t="n">
        <v>0.03</v>
      </c>
      <c r="M6" s="7" t="n">
        <v>0.025</v>
      </c>
      <c r="N6" s="7" t="n">
        <v>0.025</v>
      </c>
      <c r="O6" s="7" t="n">
        <v>0.02</v>
      </c>
      <c r="P6" s="7" t="n">
        <v>0.02</v>
      </c>
      <c r="Q6" s="7" t="n">
        <v>0.02</v>
      </c>
    </row>
    <row r="7" ht="21" customHeight="1">
      <c r="A7" s="6" t="inlineStr">
        <is>
          <t>Hosting cost / revenue</t>
        </is>
      </c>
      <c r="E7" s="7" t="n">
        <v>0.2</v>
      </c>
      <c r="F7" s="7" t="n">
        <v>0.2</v>
      </c>
      <c r="G7" s="7" t="n">
        <v>0.2</v>
      </c>
      <c r="H7" s="7" t="n">
        <v>0.2</v>
      </c>
      <c r="I7" s="7" t="n">
        <v>0.2</v>
      </c>
      <c r="J7" s="7" t="n">
        <v>0.2</v>
      </c>
      <c r="K7" s="7" t="n">
        <v>0.2</v>
      </c>
      <c r="L7" s="7" t="n">
        <v>0.2</v>
      </c>
      <c r="M7" s="7" t="n">
        <v>0.2</v>
      </c>
      <c r="N7" s="7" t="n">
        <v>0.2</v>
      </c>
      <c r="O7" s="7" t="n">
        <v>0.2</v>
      </c>
      <c r="P7" s="7" t="n">
        <v>0.2</v>
      </c>
      <c r="Q7" s="7" t="n">
        <v>0.2</v>
      </c>
    </row>
    <row r="8" ht="21" customHeight="1">
      <c r="A8" s="6" t="inlineStr">
        <is>
          <t>Cash tax rate</t>
        </is>
      </c>
      <c r="E8" s="7" t="n">
        <v>0.25</v>
      </c>
      <c r="F8" s="7" t="n">
        <v>0.25</v>
      </c>
      <c r="G8" s="7" t="n">
        <v>0.25</v>
      </c>
      <c r="H8" s="7" t="n">
        <v>0.25</v>
      </c>
      <c r="I8" s="7" t="n">
        <v>0.25</v>
      </c>
      <c r="J8" s="7" t="n">
        <v>0.25</v>
      </c>
      <c r="K8" s="7" t="n">
        <v>0.25</v>
      </c>
      <c r="L8" s="7" t="n">
        <v>0.25</v>
      </c>
      <c r="M8" s="7" t="n">
        <v>0.25</v>
      </c>
      <c r="N8" s="7" t="n">
        <v>0.25</v>
      </c>
      <c r="O8" s="7" t="n">
        <v>0.25</v>
      </c>
      <c r="P8" s="7" t="n">
        <v>0.25</v>
      </c>
      <c r="Q8" s="7" t="n">
        <v>0.25</v>
      </c>
    </row>
    <row r="9" ht="21" customHeight="1">
      <c r="A9" s="6" t="inlineStr">
        <is>
          <t>New customer additions</t>
        </is>
      </c>
      <c r="E9" s="8" t="n">
        <v>40</v>
      </c>
      <c r="F9" s="8" t="n">
        <v>42</v>
      </c>
      <c r="G9" s="8" t="n">
        <v>44</v>
      </c>
      <c r="H9" s="8" t="n">
        <v>46</v>
      </c>
      <c r="I9" s="8" t="n">
        <v>48</v>
      </c>
      <c r="J9" s="8" t="n">
        <v>50</v>
      </c>
      <c r="K9" s="8" t="n">
        <v>52</v>
      </c>
      <c r="L9" s="8" t="n">
        <v>54</v>
      </c>
      <c r="M9" s="8" t="n">
        <v>56</v>
      </c>
      <c r="N9" s="8" t="n">
        <v>58</v>
      </c>
      <c r="O9" s="8" t="n">
        <v>60</v>
      </c>
      <c r="P9" s="8" t="n">
        <v>62</v>
      </c>
      <c r="Q9" s="8" t="n">
        <v>62</v>
      </c>
    </row>
    <row r="10" ht="21" customHeight="1">
      <c r="A10" s="6" t="inlineStr">
        <is>
          <t>Existing-customer monthly churn</t>
        </is>
      </c>
      <c r="E10" s="7" t="n">
        <v>0.02</v>
      </c>
      <c r="F10" s="7" t="n">
        <v>0.02</v>
      </c>
      <c r="G10" s="7" t="n">
        <v>0.02</v>
      </c>
      <c r="H10" s="7" t="n">
        <v>0.02</v>
      </c>
      <c r="I10" s="7" t="n">
        <v>0.02</v>
      </c>
      <c r="J10" s="7" t="n">
        <v>0.02</v>
      </c>
      <c r="K10" s="7" t="n">
        <v>0.02</v>
      </c>
      <c r="L10" s="7" t="n">
        <v>0.02</v>
      </c>
      <c r="M10" s="7" t="n">
        <v>0.02</v>
      </c>
      <c r="N10" s="7" t="n">
        <v>0.02</v>
      </c>
      <c r="O10" s="7" t="n">
        <v>0.02</v>
      </c>
      <c r="P10" s="7" t="n">
        <v>0.02</v>
      </c>
      <c r="Q10" s="7" t="n">
        <v>0.02</v>
      </c>
    </row>
    <row r="11" ht="21" customHeight="1">
      <c r="A11" s="6" t="inlineStr">
        <is>
          <t>New-cohort monthly churn</t>
        </is>
      </c>
      <c r="E11" s="7" t="n">
        <v>0.015</v>
      </c>
      <c r="F11" s="7" t="n">
        <v>0.015</v>
      </c>
      <c r="G11" s="7" t="n">
        <v>0.015</v>
      </c>
      <c r="H11" s="7" t="n">
        <v>0.015</v>
      </c>
      <c r="I11" s="7" t="n">
        <v>0.015</v>
      </c>
      <c r="J11" s="7" t="n">
        <v>0.015</v>
      </c>
      <c r="K11" s="7" t="n">
        <v>0.015</v>
      </c>
      <c r="L11" s="7" t="n">
        <v>0.015</v>
      </c>
      <c r="M11" s="7" t="n">
        <v>0.015</v>
      </c>
      <c r="N11" s="7" t="n">
        <v>0.015</v>
      </c>
      <c r="O11" s="7" t="n">
        <v>0.015</v>
      </c>
      <c r="P11" s="7" t="n">
        <v>0.015</v>
      </c>
      <c r="Q11" s="7" t="n">
        <v>0.015</v>
      </c>
    </row>
    <row r="12" ht="21" customHeight="1">
      <c r="A12" s="6" t="inlineStr">
        <is>
          <t>Opening existing customers</t>
        </is>
      </c>
      <c r="E12" s="8" t="n">
        <v>1000</v>
      </c>
      <c r="F12" s="8" t="n">
        <v>1000</v>
      </c>
      <c r="G12" s="8" t="n">
        <v>1000</v>
      </c>
      <c r="H12" s="8" t="n">
        <v>1000</v>
      </c>
      <c r="I12" s="8" t="n">
        <v>1000</v>
      </c>
      <c r="J12" s="8" t="n">
        <v>1000</v>
      </c>
      <c r="K12" s="8" t="n">
        <v>1000</v>
      </c>
      <c r="L12" s="8" t="n">
        <v>1000</v>
      </c>
      <c r="M12" s="8" t="n">
        <v>1000</v>
      </c>
      <c r="N12" s="8" t="n">
        <v>1000</v>
      </c>
      <c r="O12" s="8" t="n">
        <v>1000</v>
      </c>
      <c r="P12" s="8" t="n">
        <v>1000</v>
      </c>
      <c r="Q12" s="8" t="n">
        <v>1000</v>
      </c>
    </row>
    <row r="13" ht="21" customHeight="1">
      <c r="A13" s="6" t="inlineStr">
        <is>
          <t>Existing starting monthly ARPC</t>
        </is>
      </c>
      <c r="E13" s="9" t="n">
        <v>120</v>
      </c>
      <c r="F13" s="9" t="n">
        <v>120</v>
      </c>
      <c r="G13" s="9" t="n">
        <v>120</v>
      </c>
      <c r="H13" s="9" t="n">
        <v>120</v>
      </c>
      <c r="I13" s="9" t="n">
        <v>120</v>
      </c>
      <c r="J13" s="9" t="n">
        <v>120</v>
      </c>
      <c r="K13" s="9" t="n">
        <v>120</v>
      </c>
      <c r="L13" s="9" t="n">
        <v>120</v>
      </c>
      <c r="M13" s="9" t="n">
        <v>120</v>
      </c>
      <c r="N13" s="9" t="n">
        <v>120</v>
      </c>
      <c r="O13" s="9" t="n">
        <v>120</v>
      </c>
      <c r="P13" s="9" t="n">
        <v>120</v>
      </c>
      <c r="Q13" s="9" t="n">
        <v>120</v>
      </c>
    </row>
    <row r="14" ht="21" customHeight="1">
      <c r="A14" s="6" t="inlineStr">
        <is>
          <t>New-cohort starting monthly ARPC</t>
        </is>
      </c>
      <c r="E14" s="9" t="n">
        <v>135</v>
      </c>
      <c r="F14" s="9" t="n">
        <v>135</v>
      </c>
      <c r="G14" s="9" t="n">
        <v>135</v>
      </c>
      <c r="H14" s="9" t="n">
        <v>135</v>
      </c>
      <c r="I14" s="9" t="n">
        <v>135</v>
      </c>
      <c r="J14" s="9" t="n">
        <v>135</v>
      </c>
      <c r="K14" s="9" t="n">
        <v>135</v>
      </c>
      <c r="L14" s="9" t="n">
        <v>135</v>
      </c>
      <c r="M14" s="9" t="n">
        <v>135</v>
      </c>
      <c r="N14" s="9" t="n">
        <v>135</v>
      </c>
      <c r="O14" s="9" t="n">
        <v>135</v>
      </c>
      <c r="P14" s="9" t="n">
        <v>135</v>
      </c>
      <c r="Q14" s="9" t="n">
        <v>135</v>
      </c>
    </row>
    <row r="15" ht="21" customHeight="1">
      <c r="A15" s="6" t="inlineStr">
        <is>
          <t>Calendar-month price uplift</t>
        </is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0.04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</row>
    <row r="16" ht="21" customHeight="1">
      <c r="A16" s="6" t="inlineStr">
        <is>
          <t>DSO / actual days in month</t>
        </is>
      </c>
      <c r="E16" s="8" t="n">
        <v>35</v>
      </c>
      <c r="F16" s="8" t="n">
        <v>35</v>
      </c>
      <c r="G16" s="8" t="n">
        <v>35</v>
      </c>
      <c r="H16" s="8" t="n">
        <v>35</v>
      </c>
      <c r="I16" s="8" t="n">
        <v>35</v>
      </c>
      <c r="J16" s="8" t="n">
        <v>35</v>
      </c>
      <c r="K16" s="8" t="n">
        <v>35</v>
      </c>
      <c r="L16" s="8" t="n">
        <v>35</v>
      </c>
      <c r="M16" s="8" t="n">
        <v>35</v>
      </c>
      <c r="N16" s="8" t="n">
        <v>35</v>
      </c>
      <c r="O16" s="8" t="n">
        <v>35</v>
      </c>
      <c r="P16" s="8" t="n">
        <v>35</v>
      </c>
      <c r="Q16" s="8" t="n">
        <v>35</v>
      </c>
    </row>
    <row r="17" ht="21" customHeight="1">
      <c r="A17" s="6" t="inlineStr">
        <is>
          <t>DPO / actual days in month</t>
        </is>
      </c>
      <c r="E17" s="8" t="n">
        <v>25</v>
      </c>
      <c r="F17" s="8" t="n">
        <v>25</v>
      </c>
      <c r="G17" s="8" t="n">
        <v>25</v>
      </c>
      <c r="H17" s="8" t="n">
        <v>25</v>
      </c>
      <c r="I17" s="8" t="n">
        <v>25</v>
      </c>
      <c r="J17" s="8" t="n">
        <v>25</v>
      </c>
      <c r="K17" s="8" t="n">
        <v>25</v>
      </c>
      <c r="L17" s="8" t="n">
        <v>25</v>
      </c>
      <c r="M17" s="8" t="n">
        <v>25</v>
      </c>
      <c r="N17" s="8" t="n">
        <v>25</v>
      </c>
      <c r="O17" s="8" t="n">
        <v>25</v>
      </c>
      <c r="P17" s="8" t="n">
        <v>25</v>
      </c>
      <c r="Q17" s="8" t="n">
        <v>25</v>
      </c>
    </row>
    <row r="18" ht="21" customHeight="1">
      <c r="A18" s="6" t="inlineStr">
        <is>
          <t>Monthly payroll growth</t>
        </is>
      </c>
      <c r="E18" s="7" t="n">
        <v>0.005</v>
      </c>
      <c r="F18" s="7" t="n">
        <v>0.005</v>
      </c>
      <c r="G18" s="7" t="n">
        <v>0.005</v>
      </c>
      <c r="H18" s="7" t="n">
        <v>0.005</v>
      </c>
      <c r="I18" s="7" t="n">
        <v>0.005</v>
      </c>
      <c r="J18" s="7" t="n">
        <v>0.005</v>
      </c>
      <c r="K18" s="7" t="n">
        <v>0.005</v>
      </c>
      <c r="L18" s="7" t="n">
        <v>0.005</v>
      </c>
      <c r="M18" s="7" t="n">
        <v>0.005</v>
      </c>
      <c r="N18" s="7" t="n">
        <v>0.005</v>
      </c>
      <c r="O18" s="7" t="n">
        <v>0.005</v>
      </c>
      <c r="P18" s="7" t="n">
        <v>0.005</v>
      </c>
      <c r="Q18" s="7" t="n">
        <v>0.005</v>
      </c>
    </row>
    <row r="19" ht="21" customHeight="1">
      <c r="A19" s="6" t="inlineStr">
        <is>
          <t>Sales &amp; marketing / revenue</t>
        </is>
      </c>
      <c r="E19" s="7" t="n">
        <v>0.15</v>
      </c>
      <c r="F19" s="7" t="n">
        <v>0.15</v>
      </c>
      <c r="G19" s="7" t="n">
        <v>0.15</v>
      </c>
      <c r="H19" s="7" t="n">
        <v>0.15</v>
      </c>
      <c r="I19" s="7" t="n">
        <v>0.15</v>
      </c>
      <c r="J19" s="7" t="n">
        <v>0.15</v>
      </c>
      <c r="K19" s="7" t="n">
        <v>0.15</v>
      </c>
      <c r="L19" s="7" t="n">
        <v>0.15</v>
      </c>
      <c r="M19" s="7" t="n">
        <v>0.15</v>
      </c>
      <c r="N19" s="7" t="n">
        <v>0.15</v>
      </c>
      <c r="O19" s="7" t="n">
        <v>0.15</v>
      </c>
      <c r="P19" s="7" t="n">
        <v>0.15</v>
      </c>
      <c r="Q19" s="7" t="n">
        <v>0.15</v>
      </c>
    </row>
    <row r="20" ht="21" customHeight="1">
      <c r="A20" s="6" t="inlineStr">
        <is>
          <t>Monthly G&amp;A growth</t>
        </is>
      </c>
      <c r="E20" s="7" t="n">
        <v>0.003</v>
      </c>
      <c r="F20" s="7" t="n">
        <v>0.003</v>
      </c>
      <c r="G20" s="7" t="n">
        <v>0.003</v>
      </c>
      <c r="H20" s="7" t="n">
        <v>0.003</v>
      </c>
      <c r="I20" s="7" t="n">
        <v>0.003</v>
      </c>
      <c r="J20" s="7" t="n">
        <v>0.003</v>
      </c>
      <c r="K20" s="7" t="n">
        <v>0.003</v>
      </c>
      <c r="L20" s="7" t="n">
        <v>0.003</v>
      </c>
      <c r="M20" s="7" t="n">
        <v>0.003</v>
      </c>
      <c r="N20" s="7" t="n">
        <v>0.003</v>
      </c>
      <c r="O20" s="7" t="n">
        <v>0.003</v>
      </c>
      <c r="P20" s="7" t="n">
        <v>0.003</v>
      </c>
      <c r="Q20" s="7" t="n">
        <v>0.003</v>
      </c>
    </row>
    <row r="21" ht="21" customHeight="1">
      <c r="A21" s="6" t="inlineStr">
        <is>
          <t>Monthly depreciation</t>
        </is>
      </c>
      <c r="E21" s="9" t="n">
        <v>2500</v>
      </c>
      <c r="F21" s="9" t="n">
        <v>2500</v>
      </c>
      <c r="G21" s="9" t="n">
        <v>2500</v>
      </c>
      <c r="H21" s="9" t="n">
        <v>2500</v>
      </c>
      <c r="I21" s="9" t="n">
        <v>2500</v>
      </c>
      <c r="J21" s="9" t="n">
        <v>2500</v>
      </c>
      <c r="K21" s="9" t="n">
        <v>2500</v>
      </c>
      <c r="L21" s="9" t="n">
        <v>2500</v>
      </c>
      <c r="M21" s="9" t="n">
        <v>2500</v>
      </c>
      <c r="N21" s="9" t="n">
        <v>2500</v>
      </c>
      <c r="O21" s="9" t="n">
        <v>2500</v>
      </c>
      <c r="P21" s="9" t="n">
        <v>2500</v>
      </c>
      <c r="Q21" s="9" t="n">
        <v>2500</v>
      </c>
    </row>
    <row r="22" ht="21" customHeight="1">
      <c r="A22" s="6" t="inlineStr">
        <is>
          <t>Monthly capital expenditure</t>
        </is>
      </c>
      <c r="E22" s="9" t="n">
        <v>5000</v>
      </c>
      <c r="F22" s="9" t="n">
        <v>5000</v>
      </c>
      <c r="G22" s="9" t="n">
        <v>5000</v>
      </c>
      <c r="H22" s="9" t="n">
        <v>5000</v>
      </c>
      <c r="I22" s="9" t="n">
        <v>5000</v>
      </c>
      <c r="J22" s="9" t="n">
        <v>5000</v>
      </c>
      <c r="K22" s="9" t="n">
        <v>5000</v>
      </c>
      <c r="L22" s="9" t="n">
        <v>5000</v>
      </c>
      <c r="M22" s="9" t="n">
        <v>5000</v>
      </c>
      <c r="N22" s="9" t="n">
        <v>5000</v>
      </c>
      <c r="O22" s="9" t="n">
        <v>5000</v>
      </c>
      <c r="P22" s="9" t="n">
        <v>5000</v>
      </c>
      <c r="Q22" s="9" t="n">
        <v>5000</v>
      </c>
    </row>
    <row r="23" ht="21" customHeight="1">
      <c r="A23" s="6" t="inlineStr">
        <is>
          <t>Minimum closing cash</t>
        </is>
      </c>
      <c r="E23" s="9" t="n">
        <v>20000</v>
      </c>
      <c r="F23" s="9" t="n">
        <v>20000</v>
      </c>
      <c r="G23" s="9" t="n">
        <v>20000</v>
      </c>
      <c r="H23" s="9" t="n">
        <v>20000</v>
      </c>
      <c r="I23" s="9" t="n">
        <v>20000</v>
      </c>
      <c r="J23" s="9" t="n">
        <v>20000</v>
      </c>
      <c r="K23" s="9" t="n">
        <v>20000</v>
      </c>
      <c r="L23" s="9" t="n">
        <v>20000</v>
      </c>
      <c r="M23" s="9" t="n">
        <v>20000</v>
      </c>
      <c r="N23" s="9" t="n">
        <v>20000</v>
      </c>
      <c r="O23" s="9" t="n">
        <v>20000</v>
      </c>
      <c r="P23" s="9" t="n">
        <v>20000</v>
      </c>
      <c r="Q23" s="9" t="n">
        <v>20000</v>
      </c>
    </row>
    <row r="24" ht="21" customHeight="1">
      <c r="A24" s="6" t="inlineStr">
        <is>
          <t>Annual revolver interest rate</t>
        </is>
      </c>
      <c r="E24" s="7" t="n">
        <v>0.1</v>
      </c>
      <c r="F24" s="7" t="n">
        <v>0.1</v>
      </c>
      <c r="G24" s="7" t="n">
        <v>0.1</v>
      </c>
      <c r="H24" s="7" t="n">
        <v>0.1</v>
      </c>
      <c r="I24" s="7" t="n">
        <v>0.1</v>
      </c>
      <c r="J24" s="7" t="n">
        <v>0.1</v>
      </c>
      <c r="K24" s="7" t="n">
        <v>0.1</v>
      </c>
      <c r="L24" s="7" t="n">
        <v>0.1</v>
      </c>
      <c r="M24" s="7" t="n">
        <v>0.1</v>
      </c>
      <c r="N24" s="7" t="n">
        <v>0.1</v>
      </c>
      <c r="O24" s="7" t="n">
        <v>0.1</v>
      </c>
      <c r="P24" s="7" t="n">
        <v>0.1</v>
      </c>
      <c r="Q24" s="7" t="n">
        <v>0.1</v>
      </c>
    </row>
    <row r="25" ht="21" customHeight="1">
      <c r="A25" s="6" t="inlineStr">
        <is>
          <t>Days in month</t>
        </is>
      </c>
      <c r="E25" s="10" t="n">
        <v>31</v>
      </c>
      <c r="F25" s="10" t="n">
        <v>28</v>
      </c>
      <c r="G25" s="10" t="n">
        <v>31</v>
      </c>
      <c r="H25" s="10" t="n">
        <v>30</v>
      </c>
      <c r="I25" s="10" t="n">
        <v>31</v>
      </c>
      <c r="J25" s="10" t="n">
        <v>30</v>
      </c>
      <c r="K25" s="10" t="n">
        <v>31</v>
      </c>
      <c r="L25" s="10" t="n">
        <v>31</v>
      </c>
      <c r="M25" s="10" t="n">
        <v>30</v>
      </c>
      <c r="N25" s="10" t="n">
        <v>31</v>
      </c>
      <c r="O25" s="10" t="n">
        <v>30</v>
      </c>
      <c r="P25" s="10" t="n">
        <v>31</v>
      </c>
      <c r="Q25" s="10" t="n">
        <v>31</v>
      </c>
    </row>
    <row r="27" ht="42" customHeight="1">
      <c r="S27" s="11" t="inlineStr">
        <is>
          <t>Rows 12-14 are reference constants. Existing opening customers and ARPC initialize January only; new cohorts use their launch-month ARPC.</t>
        </is>
      </c>
    </row>
    <row r="29" ht="42" customHeight="1">
      <c r="S29" s="11" t="inlineStr">
        <is>
          <t>The July uplift applies to every cohort alive in July, including the July launch cohort. Later launch cohorts do not inherit earlier uplifts.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DRIVERS</t>
        </is>
      </c>
    </row>
    <row r="2" ht="17" customHeight="1"/>
    <row r="3" ht="23" customHeight="1">
      <c r="A3" s="2" t="inlineStr">
        <is>
          <t>A | Complete yellow driver inputs from the fixed Assumptions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12">
        <f>Assumptions!E6</f>
        <v/>
      </c>
      <c r="F6" s="12">
        <f>Assumptions!F6</f>
        <v/>
      </c>
      <c r="G6" s="12">
        <f>Assumptions!G6</f>
        <v/>
      </c>
      <c r="H6" s="12">
        <f>Assumptions!H6</f>
        <v/>
      </c>
      <c r="I6" s="12">
        <f>Assumptions!I6</f>
        <v/>
      </c>
      <c r="J6" s="12">
        <f>Assumptions!J6</f>
        <v/>
      </c>
      <c r="K6" s="12">
        <f>Assumptions!K6</f>
        <v/>
      </c>
      <c r="L6" s="12">
        <f>Assumptions!L6</f>
        <v/>
      </c>
      <c r="M6" s="12">
        <f>Assumptions!M6</f>
        <v/>
      </c>
      <c r="N6" s="12">
        <f>Assumptions!N6</f>
        <v/>
      </c>
      <c r="O6" s="12">
        <f>Assumptions!O6</f>
        <v/>
      </c>
      <c r="P6" s="12">
        <f>Assumptions!P6</f>
        <v/>
      </c>
      <c r="Q6" s="13">
        <f>IF(COUNT(E6:P6)=12,P6,"")</f>
        <v/>
      </c>
    </row>
    <row r="7" ht="21" customHeight="1">
      <c r="A7" s="6" t="inlineStr">
        <is>
          <t>Hosting cost / revenue</t>
        </is>
      </c>
      <c r="E7" s="12">
        <f>Assumptions!E7</f>
        <v/>
      </c>
      <c r="F7" s="12">
        <f>Assumptions!F7</f>
        <v/>
      </c>
      <c r="G7" s="12">
        <f>Assumptions!G7</f>
        <v/>
      </c>
      <c r="H7" s="12">
        <f>Assumptions!H7</f>
        <v/>
      </c>
      <c r="I7" s="12">
        <f>Assumptions!I7</f>
        <v/>
      </c>
      <c r="J7" s="12">
        <f>Assumptions!J7</f>
        <v/>
      </c>
      <c r="K7" s="12">
        <f>Assumptions!K7</f>
        <v/>
      </c>
      <c r="L7" s="12">
        <f>Assumptions!L7</f>
        <v/>
      </c>
      <c r="M7" s="12">
        <f>Assumptions!M7</f>
        <v/>
      </c>
      <c r="N7" s="12">
        <f>Assumptions!N7</f>
        <v/>
      </c>
      <c r="O7" s="12">
        <f>Assumptions!O7</f>
        <v/>
      </c>
      <c r="P7" s="12">
        <f>Assumptions!P7</f>
        <v/>
      </c>
      <c r="Q7" s="13">
        <f>IF(COUNT(E7:P7)=12,P7,"")</f>
        <v/>
      </c>
    </row>
    <row r="8" ht="21" customHeight="1">
      <c r="A8" s="6" t="inlineStr">
        <is>
          <t>Cash tax rate</t>
        </is>
      </c>
      <c r="E8" s="12">
        <f>Assumptions!E8</f>
        <v/>
      </c>
      <c r="F8" s="12">
        <f>Assumptions!F8</f>
        <v/>
      </c>
      <c r="G8" s="12">
        <f>Assumptions!G8</f>
        <v/>
      </c>
      <c r="H8" s="12">
        <f>Assumptions!H8</f>
        <v/>
      </c>
      <c r="I8" s="12">
        <f>Assumptions!I8</f>
        <v/>
      </c>
      <c r="J8" s="12">
        <f>Assumptions!J8</f>
        <v/>
      </c>
      <c r="K8" s="12">
        <f>Assumptions!K8</f>
        <v/>
      </c>
      <c r="L8" s="12">
        <f>Assumptions!L8</f>
        <v/>
      </c>
      <c r="M8" s="12">
        <f>Assumptions!M8</f>
        <v/>
      </c>
      <c r="N8" s="12">
        <f>Assumptions!N8</f>
        <v/>
      </c>
      <c r="O8" s="12">
        <f>Assumptions!O8</f>
        <v/>
      </c>
      <c r="P8" s="12">
        <f>Assumptions!P8</f>
        <v/>
      </c>
      <c r="Q8" s="13">
        <f>IF(COUNT(E8:P8)=12,P8,"")</f>
        <v/>
      </c>
    </row>
    <row r="9" ht="21" customHeight="1">
      <c r="A9" s="6" t="inlineStr">
        <is>
          <t>New customer additions</t>
        </is>
      </c>
      <c r="E9" s="14">
        <f>Assumptions!E9</f>
        <v/>
      </c>
      <c r="F9" s="14">
        <f>Assumptions!F9</f>
        <v/>
      </c>
      <c r="G9" s="14">
        <f>Assumptions!G9</f>
        <v/>
      </c>
      <c r="H9" s="14">
        <f>Assumptions!H9</f>
        <v/>
      </c>
      <c r="I9" s="14">
        <f>Assumptions!I9</f>
        <v/>
      </c>
      <c r="J9" s="14">
        <f>Assumptions!J9</f>
        <v/>
      </c>
      <c r="K9" s="14">
        <f>Assumptions!K9</f>
        <v/>
      </c>
      <c r="L9" s="14">
        <f>Assumptions!L9</f>
        <v/>
      </c>
      <c r="M9" s="14">
        <f>Assumptions!M9</f>
        <v/>
      </c>
      <c r="N9" s="14">
        <f>Assumptions!N9</f>
        <v/>
      </c>
      <c r="O9" s="14">
        <f>Assumptions!O9</f>
        <v/>
      </c>
      <c r="P9" s="14">
        <f>Assumptions!P9</f>
        <v/>
      </c>
      <c r="Q9" s="15">
        <f>IF(COUNT(E9:P9)=12,P9,"")</f>
        <v/>
      </c>
    </row>
    <row r="10" ht="21" customHeight="1">
      <c r="A10" s="6" t="inlineStr">
        <is>
          <t>Existing-customer monthly churn</t>
        </is>
      </c>
      <c r="E10" s="12">
        <f>Assumptions!E10</f>
        <v/>
      </c>
      <c r="F10" s="12">
        <f>Assumptions!F10</f>
        <v/>
      </c>
      <c r="G10" s="12">
        <f>Assumptions!G10</f>
        <v/>
      </c>
      <c r="H10" s="12">
        <f>Assumptions!H10</f>
        <v/>
      </c>
      <c r="I10" s="12">
        <f>Assumptions!I10</f>
        <v/>
      </c>
      <c r="J10" s="12">
        <f>Assumptions!J10</f>
        <v/>
      </c>
      <c r="K10" s="12">
        <f>Assumptions!K10</f>
        <v/>
      </c>
      <c r="L10" s="12">
        <f>Assumptions!L10</f>
        <v/>
      </c>
      <c r="M10" s="12">
        <f>Assumptions!M10</f>
        <v/>
      </c>
      <c r="N10" s="12">
        <f>Assumptions!N10</f>
        <v/>
      </c>
      <c r="O10" s="12">
        <f>Assumptions!O10</f>
        <v/>
      </c>
      <c r="P10" s="12">
        <f>Assumptions!P10</f>
        <v/>
      </c>
      <c r="Q10" s="13">
        <f>IF(COUNT(E10:P10)=12,P10,"")</f>
        <v/>
      </c>
    </row>
    <row r="11" ht="21" customHeight="1">
      <c r="A11" s="6" t="inlineStr">
        <is>
          <t>New-cohort monthly churn</t>
        </is>
      </c>
      <c r="E11" s="12">
        <f>Assumptions!E11</f>
        <v/>
      </c>
      <c r="F11" s="12">
        <f>Assumptions!F11</f>
        <v/>
      </c>
      <c r="G11" s="12">
        <f>Assumptions!G11</f>
        <v/>
      </c>
      <c r="H11" s="12">
        <f>Assumptions!H11</f>
        <v/>
      </c>
      <c r="I11" s="12">
        <f>Assumptions!I11</f>
        <v/>
      </c>
      <c r="J11" s="12">
        <f>Assumptions!J11</f>
        <v/>
      </c>
      <c r="K11" s="12">
        <f>Assumptions!K11</f>
        <v/>
      </c>
      <c r="L11" s="12">
        <f>Assumptions!L11</f>
        <v/>
      </c>
      <c r="M11" s="12">
        <f>Assumptions!M11</f>
        <v/>
      </c>
      <c r="N11" s="12">
        <f>Assumptions!N11</f>
        <v/>
      </c>
      <c r="O11" s="12">
        <f>Assumptions!O11</f>
        <v/>
      </c>
      <c r="P11" s="12">
        <f>Assumptions!P11</f>
        <v/>
      </c>
      <c r="Q11" s="13">
        <f>IF(COUNT(E11:P11)=12,P11,"")</f>
        <v/>
      </c>
    </row>
    <row r="12" ht="21" customHeight="1">
      <c r="A12" s="6" t="inlineStr">
        <is>
          <t>Opening existing customers</t>
        </is>
      </c>
      <c r="E12" s="14">
        <f>Assumptions!E12</f>
        <v/>
      </c>
      <c r="F12" s="14">
        <f>Assumptions!F12</f>
        <v/>
      </c>
      <c r="G12" s="14">
        <f>Assumptions!G12</f>
        <v/>
      </c>
      <c r="H12" s="14">
        <f>Assumptions!H12</f>
        <v/>
      </c>
      <c r="I12" s="14">
        <f>Assumptions!I12</f>
        <v/>
      </c>
      <c r="J12" s="14">
        <f>Assumptions!J12</f>
        <v/>
      </c>
      <c r="K12" s="14">
        <f>Assumptions!K12</f>
        <v/>
      </c>
      <c r="L12" s="14">
        <f>Assumptions!L12</f>
        <v/>
      </c>
      <c r="M12" s="14">
        <f>Assumptions!M12</f>
        <v/>
      </c>
      <c r="N12" s="14">
        <f>Assumptions!N12</f>
        <v/>
      </c>
      <c r="O12" s="14">
        <f>Assumptions!O12</f>
        <v/>
      </c>
      <c r="P12" s="14">
        <f>Assumptions!P12</f>
        <v/>
      </c>
      <c r="Q12" s="15">
        <f>IF(COUNT(E12:P12)=12,P12,"")</f>
        <v/>
      </c>
    </row>
    <row r="13" ht="21" customHeight="1">
      <c r="A13" s="6" t="inlineStr">
        <is>
          <t>Existing starting monthly ARPC</t>
        </is>
      </c>
      <c r="E13" s="16">
        <f>Assumptions!E13</f>
        <v/>
      </c>
      <c r="F13" s="16">
        <f>Assumptions!F13</f>
        <v/>
      </c>
      <c r="G13" s="16">
        <f>Assumptions!G13</f>
        <v/>
      </c>
      <c r="H13" s="16">
        <f>Assumptions!H13</f>
        <v/>
      </c>
      <c r="I13" s="16">
        <f>Assumptions!I13</f>
        <v/>
      </c>
      <c r="J13" s="16">
        <f>Assumptions!J13</f>
        <v/>
      </c>
      <c r="K13" s="16">
        <f>Assumptions!K13</f>
        <v/>
      </c>
      <c r="L13" s="16">
        <f>Assumptions!L13</f>
        <v/>
      </c>
      <c r="M13" s="16">
        <f>Assumptions!M13</f>
        <v/>
      </c>
      <c r="N13" s="16">
        <f>Assumptions!N13</f>
        <v/>
      </c>
      <c r="O13" s="16">
        <f>Assumptions!O13</f>
        <v/>
      </c>
      <c r="P13" s="16">
        <f>Assumptions!P13</f>
        <v/>
      </c>
      <c r="Q13" s="17">
        <f>IF(COUNT(E13:P13)=12,P13,"")</f>
        <v/>
      </c>
    </row>
    <row r="14" ht="21" customHeight="1">
      <c r="A14" s="6" t="inlineStr">
        <is>
          <t>New-cohort starting monthly ARPC</t>
        </is>
      </c>
      <c r="E14" s="16">
        <f>Assumptions!E14</f>
        <v/>
      </c>
      <c r="F14" s="16">
        <f>Assumptions!F14</f>
        <v/>
      </c>
      <c r="G14" s="16">
        <f>Assumptions!G14</f>
        <v/>
      </c>
      <c r="H14" s="16">
        <f>Assumptions!H14</f>
        <v/>
      </c>
      <c r="I14" s="16">
        <f>Assumptions!I14</f>
        <v/>
      </c>
      <c r="J14" s="16">
        <f>Assumptions!J14</f>
        <v/>
      </c>
      <c r="K14" s="16">
        <f>Assumptions!K14</f>
        <v/>
      </c>
      <c r="L14" s="16">
        <f>Assumptions!L14</f>
        <v/>
      </c>
      <c r="M14" s="16">
        <f>Assumptions!M14</f>
        <v/>
      </c>
      <c r="N14" s="16">
        <f>Assumptions!N14</f>
        <v/>
      </c>
      <c r="O14" s="16">
        <f>Assumptions!O14</f>
        <v/>
      </c>
      <c r="P14" s="16">
        <f>Assumptions!P14</f>
        <v/>
      </c>
      <c r="Q14" s="17">
        <f>IF(COUNT(E14:P14)=12,P14,"")</f>
        <v/>
      </c>
    </row>
    <row r="15" ht="21" customHeight="1">
      <c r="A15" s="6" t="inlineStr">
        <is>
          <t>Calendar-month price uplift</t>
        </is>
      </c>
      <c r="E15" s="12">
        <f>Assumptions!E15</f>
        <v/>
      </c>
      <c r="F15" s="12">
        <f>Assumptions!F15</f>
        <v/>
      </c>
      <c r="G15" s="12">
        <f>Assumptions!G15</f>
        <v/>
      </c>
      <c r="H15" s="12">
        <f>Assumptions!H15</f>
        <v/>
      </c>
      <c r="I15" s="12">
        <f>Assumptions!I15</f>
        <v/>
      </c>
      <c r="J15" s="12">
        <f>Assumptions!J15</f>
        <v/>
      </c>
      <c r="K15" s="12">
        <f>Assumptions!K15</f>
        <v/>
      </c>
      <c r="L15" s="12">
        <f>Assumptions!L15</f>
        <v/>
      </c>
      <c r="M15" s="12">
        <f>Assumptions!M15</f>
        <v/>
      </c>
      <c r="N15" s="12">
        <f>Assumptions!N15</f>
        <v/>
      </c>
      <c r="O15" s="12">
        <f>Assumptions!O15</f>
        <v/>
      </c>
      <c r="P15" s="12">
        <f>Assumptions!P15</f>
        <v/>
      </c>
      <c r="Q15" s="13">
        <f>IF(COUNT(E15:P15)=12,P15,"")</f>
        <v/>
      </c>
    </row>
    <row r="16" ht="21" customHeight="1">
      <c r="A16" s="6" t="inlineStr">
        <is>
          <t>DSO / actual days in month</t>
        </is>
      </c>
      <c r="E16" s="14">
        <f>Assumptions!E16</f>
        <v/>
      </c>
      <c r="F16" s="14">
        <f>Assumptions!F16</f>
        <v/>
      </c>
      <c r="G16" s="14">
        <f>Assumptions!G16</f>
        <v/>
      </c>
      <c r="H16" s="14">
        <f>Assumptions!H16</f>
        <v/>
      </c>
      <c r="I16" s="14">
        <f>Assumptions!I16</f>
        <v/>
      </c>
      <c r="J16" s="14">
        <f>Assumptions!J16</f>
        <v/>
      </c>
      <c r="K16" s="14">
        <f>Assumptions!K16</f>
        <v/>
      </c>
      <c r="L16" s="14">
        <f>Assumptions!L16</f>
        <v/>
      </c>
      <c r="M16" s="14">
        <f>Assumptions!M16</f>
        <v/>
      </c>
      <c r="N16" s="14">
        <f>Assumptions!N16</f>
        <v/>
      </c>
      <c r="O16" s="14">
        <f>Assumptions!O16</f>
        <v/>
      </c>
      <c r="P16" s="14">
        <f>Assumptions!P16</f>
        <v/>
      </c>
      <c r="Q16" s="15">
        <f>IF(COUNT(E16:P16)=12,P16,"")</f>
        <v/>
      </c>
    </row>
    <row r="17" ht="21" customHeight="1">
      <c r="A17" s="6" t="inlineStr">
        <is>
          <t>DPO / actual days in month</t>
        </is>
      </c>
      <c r="E17" s="14">
        <f>Assumptions!E17</f>
        <v/>
      </c>
      <c r="F17" s="14">
        <f>Assumptions!F17</f>
        <v/>
      </c>
      <c r="G17" s="14">
        <f>Assumptions!G17</f>
        <v/>
      </c>
      <c r="H17" s="14">
        <f>Assumptions!H17</f>
        <v/>
      </c>
      <c r="I17" s="14">
        <f>Assumptions!I17</f>
        <v/>
      </c>
      <c r="J17" s="14">
        <f>Assumptions!J17</f>
        <v/>
      </c>
      <c r="K17" s="14">
        <f>Assumptions!K17</f>
        <v/>
      </c>
      <c r="L17" s="14">
        <f>Assumptions!L17</f>
        <v/>
      </c>
      <c r="M17" s="14">
        <f>Assumptions!M17</f>
        <v/>
      </c>
      <c r="N17" s="14">
        <f>Assumptions!N17</f>
        <v/>
      </c>
      <c r="O17" s="14">
        <f>Assumptions!O17</f>
        <v/>
      </c>
      <c r="P17" s="14">
        <f>Assumptions!P17</f>
        <v/>
      </c>
      <c r="Q17" s="15">
        <f>IF(COUNT(E17:P17)=12,P17,"")</f>
        <v/>
      </c>
    </row>
    <row r="18" ht="21" customHeight="1">
      <c r="A18" s="6" t="inlineStr">
        <is>
          <t>Monthly payroll growth</t>
        </is>
      </c>
      <c r="E18" s="12">
        <f>Assumptions!E18</f>
        <v/>
      </c>
      <c r="F18" s="12">
        <f>Assumptions!F18</f>
        <v/>
      </c>
      <c r="G18" s="12">
        <f>Assumptions!G18</f>
        <v/>
      </c>
      <c r="H18" s="12">
        <f>Assumptions!H18</f>
        <v/>
      </c>
      <c r="I18" s="12">
        <f>Assumptions!I18</f>
        <v/>
      </c>
      <c r="J18" s="12">
        <f>Assumptions!J18</f>
        <v/>
      </c>
      <c r="K18" s="12">
        <f>Assumptions!K18</f>
        <v/>
      </c>
      <c r="L18" s="12">
        <f>Assumptions!L18</f>
        <v/>
      </c>
      <c r="M18" s="12">
        <f>Assumptions!M18</f>
        <v/>
      </c>
      <c r="N18" s="12">
        <f>Assumptions!N18</f>
        <v/>
      </c>
      <c r="O18" s="12">
        <f>Assumptions!O18</f>
        <v/>
      </c>
      <c r="P18" s="12">
        <f>Assumptions!P18</f>
        <v/>
      </c>
      <c r="Q18" s="13">
        <f>IF(COUNT(E18:P18)=12,P18,"")</f>
        <v/>
      </c>
    </row>
    <row r="19" ht="21" customHeight="1">
      <c r="A19" s="6" t="inlineStr">
        <is>
          <t>Sales &amp; marketing / revenue</t>
        </is>
      </c>
      <c r="E19" s="12">
        <f>Assumptions!E19</f>
        <v/>
      </c>
      <c r="F19" s="12">
        <f>Assumptions!F19</f>
        <v/>
      </c>
      <c r="G19" s="12">
        <f>Assumptions!G19</f>
        <v/>
      </c>
      <c r="H19" s="12">
        <f>Assumptions!H19</f>
        <v/>
      </c>
      <c r="I19" s="12">
        <f>Assumptions!I19</f>
        <v/>
      </c>
      <c r="J19" s="12">
        <f>Assumptions!J19</f>
        <v/>
      </c>
      <c r="K19" s="12">
        <f>Assumptions!K19</f>
        <v/>
      </c>
      <c r="L19" s="12">
        <f>Assumptions!L19</f>
        <v/>
      </c>
      <c r="M19" s="12">
        <f>Assumptions!M19</f>
        <v/>
      </c>
      <c r="N19" s="12">
        <f>Assumptions!N19</f>
        <v/>
      </c>
      <c r="O19" s="12">
        <f>Assumptions!O19</f>
        <v/>
      </c>
      <c r="P19" s="12">
        <f>Assumptions!P19</f>
        <v/>
      </c>
      <c r="Q19" s="13">
        <f>IF(COUNT(E19:P19)=12,P19,"")</f>
        <v/>
      </c>
    </row>
    <row r="20" ht="21" customHeight="1">
      <c r="A20" s="6" t="inlineStr">
        <is>
          <t>Monthly G&amp;A growth</t>
        </is>
      </c>
      <c r="E20" s="12">
        <f>Assumptions!E20</f>
        <v/>
      </c>
      <c r="F20" s="12">
        <f>Assumptions!F20</f>
        <v/>
      </c>
      <c r="G20" s="12">
        <f>Assumptions!G20</f>
        <v/>
      </c>
      <c r="H20" s="12">
        <f>Assumptions!H20</f>
        <v/>
      </c>
      <c r="I20" s="12">
        <f>Assumptions!I20</f>
        <v/>
      </c>
      <c r="J20" s="12">
        <f>Assumptions!J20</f>
        <v/>
      </c>
      <c r="K20" s="12">
        <f>Assumptions!K20</f>
        <v/>
      </c>
      <c r="L20" s="12">
        <f>Assumptions!L20</f>
        <v/>
      </c>
      <c r="M20" s="12">
        <f>Assumptions!M20</f>
        <v/>
      </c>
      <c r="N20" s="12">
        <f>Assumptions!N20</f>
        <v/>
      </c>
      <c r="O20" s="12">
        <f>Assumptions!O20</f>
        <v/>
      </c>
      <c r="P20" s="12">
        <f>Assumptions!P20</f>
        <v/>
      </c>
      <c r="Q20" s="13">
        <f>IF(COUNT(E20:P20)=12,P20,"")</f>
        <v/>
      </c>
    </row>
    <row r="21" ht="21" customHeight="1">
      <c r="A21" s="6" t="inlineStr">
        <is>
          <t>Monthly depreciation</t>
        </is>
      </c>
      <c r="E21" s="16">
        <f>Assumptions!E21</f>
        <v/>
      </c>
      <c r="F21" s="16">
        <f>Assumptions!F21</f>
        <v/>
      </c>
      <c r="G21" s="16">
        <f>Assumptions!G21</f>
        <v/>
      </c>
      <c r="H21" s="16">
        <f>Assumptions!H21</f>
        <v/>
      </c>
      <c r="I21" s="16">
        <f>Assumptions!I21</f>
        <v/>
      </c>
      <c r="J21" s="16">
        <f>Assumptions!J21</f>
        <v/>
      </c>
      <c r="K21" s="16">
        <f>Assumptions!K21</f>
        <v/>
      </c>
      <c r="L21" s="16">
        <f>Assumptions!L21</f>
        <v/>
      </c>
      <c r="M21" s="16">
        <f>Assumptions!M21</f>
        <v/>
      </c>
      <c r="N21" s="16">
        <f>Assumptions!N21</f>
        <v/>
      </c>
      <c r="O21" s="16">
        <f>Assumptions!O21</f>
        <v/>
      </c>
      <c r="P21" s="16">
        <f>Assumptions!P21</f>
        <v/>
      </c>
      <c r="Q21" s="17">
        <f>IF(COUNT(E21:P21)=12,P21,"")</f>
        <v/>
      </c>
    </row>
    <row r="22" ht="21" customHeight="1">
      <c r="A22" s="6" t="inlineStr">
        <is>
          <t>Monthly capital expenditure</t>
        </is>
      </c>
      <c r="E22" s="16">
        <f>Assumptions!E22</f>
        <v/>
      </c>
      <c r="F22" s="16">
        <f>Assumptions!F22</f>
        <v/>
      </c>
      <c r="G22" s="16">
        <f>Assumptions!G22</f>
        <v/>
      </c>
      <c r="H22" s="16">
        <f>Assumptions!H22</f>
        <v/>
      </c>
      <c r="I22" s="16">
        <f>Assumptions!I22</f>
        <v/>
      </c>
      <c r="J22" s="16">
        <f>Assumptions!J22</f>
        <v/>
      </c>
      <c r="K22" s="16">
        <f>Assumptions!K22</f>
        <v/>
      </c>
      <c r="L22" s="16">
        <f>Assumptions!L22</f>
        <v/>
      </c>
      <c r="M22" s="16">
        <f>Assumptions!M22</f>
        <v/>
      </c>
      <c r="N22" s="16">
        <f>Assumptions!N22</f>
        <v/>
      </c>
      <c r="O22" s="16">
        <f>Assumptions!O22</f>
        <v/>
      </c>
      <c r="P22" s="16">
        <f>Assumptions!P22</f>
        <v/>
      </c>
      <c r="Q22" s="17">
        <f>IF(COUNT(E22:P22)=12,P22,"")</f>
        <v/>
      </c>
    </row>
    <row r="23" ht="21" customHeight="1">
      <c r="A23" s="6" t="inlineStr">
        <is>
          <t>Minimum closing cash</t>
        </is>
      </c>
      <c r="E23" s="16">
        <f>Assumptions!E23</f>
        <v/>
      </c>
      <c r="F23" s="16">
        <f>Assumptions!F23</f>
        <v/>
      </c>
      <c r="G23" s="16">
        <f>Assumptions!G23</f>
        <v/>
      </c>
      <c r="H23" s="16">
        <f>Assumptions!H23</f>
        <v/>
      </c>
      <c r="I23" s="16">
        <f>Assumptions!I23</f>
        <v/>
      </c>
      <c r="J23" s="16">
        <f>Assumptions!J23</f>
        <v/>
      </c>
      <c r="K23" s="16">
        <f>Assumptions!K23</f>
        <v/>
      </c>
      <c r="L23" s="16">
        <f>Assumptions!L23</f>
        <v/>
      </c>
      <c r="M23" s="16">
        <f>Assumptions!M23</f>
        <v/>
      </c>
      <c r="N23" s="16">
        <f>Assumptions!N23</f>
        <v/>
      </c>
      <c r="O23" s="16">
        <f>Assumptions!O23</f>
        <v/>
      </c>
      <c r="P23" s="16">
        <f>Assumptions!P23</f>
        <v/>
      </c>
      <c r="Q23" s="17">
        <f>IF(COUNT(E23:P23)=12,P23,"")</f>
        <v/>
      </c>
    </row>
    <row r="24" ht="21" customHeight="1">
      <c r="A24" s="6" t="inlineStr">
        <is>
          <t>Annual revolver interest rate</t>
        </is>
      </c>
      <c r="E24" s="12">
        <f>Assumptions!E24</f>
        <v/>
      </c>
      <c r="F24" s="12">
        <f>Assumptions!F24</f>
        <v/>
      </c>
      <c r="G24" s="12">
        <f>Assumptions!G24</f>
        <v/>
      </c>
      <c r="H24" s="12">
        <f>Assumptions!H24</f>
        <v/>
      </c>
      <c r="I24" s="12">
        <f>Assumptions!I24</f>
        <v/>
      </c>
      <c r="J24" s="12">
        <f>Assumptions!J24</f>
        <v/>
      </c>
      <c r="K24" s="12">
        <f>Assumptions!K24</f>
        <v/>
      </c>
      <c r="L24" s="12">
        <f>Assumptions!L24</f>
        <v/>
      </c>
      <c r="M24" s="12">
        <f>Assumptions!M24</f>
        <v/>
      </c>
      <c r="N24" s="12">
        <f>Assumptions!N24</f>
        <v/>
      </c>
      <c r="O24" s="12">
        <f>Assumptions!O24</f>
        <v/>
      </c>
      <c r="P24" s="12">
        <f>Assumptions!P24</f>
        <v/>
      </c>
      <c r="Q24" s="13">
        <f>IF(COUNT(E24:P24)=12,P24,"")</f>
        <v/>
      </c>
    </row>
    <row r="25" ht="21" customHeight="1">
      <c r="A25" s="6" t="inlineStr">
        <is>
          <t>Days in month</t>
        </is>
      </c>
      <c r="E25" s="18">
        <f>Assumptions!E25</f>
        <v/>
      </c>
      <c r="F25" s="18">
        <f>Assumptions!F25</f>
        <v/>
      </c>
      <c r="G25" s="18">
        <f>Assumptions!G25</f>
        <v/>
      </c>
      <c r="H25" s="18">
        <f>Assumptions!H25</f>
        <v/>
      </c>
      <c r="I25" s="18">
        <f>Assumptions!I25</f>
        <v/>
      </c>
      <c r="J25" s="18">
        <f>Assumptions!J25</f>
        <v/>
      </c>
      <c r="K25" s="18">
        <f>Assumptions!K25</f>
        <v/>
      </c>
      <c r="L25" s="18">
        <f>Assumptions!L25</f>
        <v/>
      </c>
      <c r="M25" s="18">
        <f>Assumptions!M25</f>
        <v/>
      </c>
      <c r="N25" s="18">
        <f>Assumptions!N25</f>
        <v/>
      </c>
      <c r="O25" s="18">
        <f>Assumptions!O25</f>
        <v/>
      </c>
      <c r="P25" s="18">
        <f>Assumptions!P25</f>
        <v/>
      </c>
      <c r="Q25" s="19">
        <f>IF(COUNT(E25:P25)=12,P25,"")</f>
        <v/>
      </c>
    </row>
    <row r="27" ht="42" customHeight="1">
      <c r="S27" s="11" t="inlineStr">
        <is>
          <t>Row 6 is the initial method only. After the follow-up, retain it for audit but do not use it in any forecast revenue or cash-flow dependency.</t>
        </is>
      </c>
    </row>
  </sheetData>
  <mergeCells count="2">
    <mergeCell ref="A3:Q3"/>
    <mergeCell ref="A1:Q2"/>
  </mergeCells>
  <dataValidations count="20">
    <dataValidation sqref="E6:P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7:P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8:P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9:P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0:P1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1:P1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2:P1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3:P1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4:P1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5:P1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6:P1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7:P1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8:P1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9:P1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0:P2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1:P2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2:P2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3:P2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4:P2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5:P2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</dataValidation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HISTORICAL</t>
        </is>
      </c>
    </row>
    <row r="2" ht="17" customHeight="1"/>
    <row r="3" ht="23" customHeight="1">
      <c r="A3" s="2" t="inlineStr">
        <is>
          <t>IMMUTABLE ACTUALS | Three months ending December 2025. Forecast cells on this sheet are unused.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20" t="n">
        <v>115000</v>
      </c>
      <c r="C6" s="20" t="n">
        <v>118000</v>
      </c>
      <c r="D6" s="20" t="n">
        <v>120000</v>
      </c>
    </row>
    <row r="7" ht="21" customHeight="1">
      <c r="A7" s="6" t="inlineStr">
        <is>
          <t>Hosting cost</t>
        </is>
      </c>
      <c r="B7" s="20" t="n">
        <v>23000</v>
      </c>
      <c r="C7" s="20" t="n">
        <v>23600</v>
      </c>
      <c r="D7" s="20" t="n">
        <v>24000</v>
      </c>
    </row>
    <row r="8" ht="21" customHeight="1">
      <c r="A8" s="6" t="inlineStr">
        <is>
          <t>Gross profit</t>
        </is>
      </c>
      <c r="B8" s="20" t="n">
        <v>92000</v>
      </c>
      <c r="C8" s="20" t="n">
        <v>94400</v>
      </c>
      <c r="D8" s="20" t="n">
        <v>96000</v>
      </c>
    </row>
    <row r="9" ht="21" customHeight="1">
      <c r="A9" s="6" t="inlineStr">
        <is>
          <t>Payroll</t>
        </is>
      </c>
      <c r="B9" s="20" t="n">
        <v>41500</v>
      </c>
      <c r="C9" s="20" t="n">
        <v>41750</v>
      </c>
      <c r="D9" s="20" t="n">
        <v>42000</v>
      </c>
    </row>
    <row r="10" ht="21" customHeight="1">
      <c r="A10" s="6" t="inlineStr">
        <is>
          <t>Sales &amp; marketing</t>
        </is>
      </c>
      <c r="B10" s="20" t="n">
        <v>17250</v>
      </c>
      <c r="C10" s="20" t="n">
        <v>17700</v>
      </c>
      <c r="D10" s="20" t="n">
        <v>18000</v>
      </c>
    </row>
    <row r="11" ht="21" customHeight="1">
      <c r="A11" s="6" t="inlineStr">
        <is>
          <t>General &amp; administrative</t>
        </is>
      </c>
      <c r="B11" s="20" t="n">
        <v>9940</v>
      </c>
      <c r="C11" s="20" t="n">
        <v>9970</v>
      </c>
      <c r="D11" s="20" t="n">
        <v>10000</v>
      </c>
    </row>
    <row r="12" ht="21" customHeight="1">
      <c r="A12" s="6" t="inlineStr">
        <is>
          <t>EBITDA</t>
        </is>
      </c>
      <c r="B12" s="20" t="n">
        <v>23310</v>
      </c>
      <c r="C12" s="20" t="n">
        <v>24980</v>
      </c>
      <c r="D12" s="20" t="n">
        <v>26000</v>
      </c>
    </row>
    <row r="13" ht="21" customHeight="1">
      <c r="A13" s="6" t="inlineStr">
        <is>
          <t>Depreciation</t>
        </is>
      </c>
      <c r="B13" s="20" t="n">
        <v>2500</v>
      </c>
      <c r="C13" s="20" t="n">
        <v>2500</v>
      </c>
      <c r="D13" s="20" t="n">
        <v>2500</v>
      </c>
    </row>
    <row r="14" ht="21" customHeight="1">
      <c r="A14" s="6" t="inlineStr">
        <is>
          <t>EBIT</t>
        </is>
      </c>
      <c r="B14" s="20" t="n">
        <v>20810</v>
      </c>
      <c r="C14" s="20" t="n">
        <v>22480</v>
      </c>
      <c r="D14" s="20" t="n">
        <v>23500</v>
      </c>
    </row>
    <row r="15" ht="21" customHeight="1">
      <c r="A15" s="6" t="inlineStr">
        <is>
          <t>Interest</t>
        </is>
      </c>
      <c r="B15" s="20" t="n">
        <v>250</v>
      </c>
      <c r="C15" s="20" t="n">
        <v>250</v>
      </c>
      <c r="D15" s="20" t="n">
        <v>250</v>
      </c>
    </row>
    <row r="16" ht="21" customHeight="1">
      <c r="A16" s="6" t="inlineStr">
        <is>
          <t>Cash taxes</t>
        </is>
      </c>
      <c r="B16" s="20" t="n">
        <v>5140</v>
      </c>
      <c r="C16" s="20" t="n">
        <v>5557.5</v>
      </c>
      <c r="D16" s="20" t="n">
        <v>5812.5</v>
      </c>
    </row>
    <row r="17" ht="21" customHeight="1">
      <c r="A17" s="6" t="inlineStr">
        <is>
          <t>Net income</t>
        </is>
      </c>
      <c r="B17" s="20" t="n">
        <v>15420</v>
      </c>
      <c r="C17" s="20" t="n">
        <v>16672.5</v>
      </c>
      <c r="D17" s="20" t="n">
        <v>17437.5</v>
      </c>
    </row>
    <row r="20" ht="21" customHeight="1">
      <c r="A20" s="6" t="inlineStr">
        <is>
          <t>Accounts receivable</t>
        </is>
      </c>
      <c r="B20" s="20" t="n">
        <v>129838.7096774194</v>
      </c>
      <c r="C20" s="20" t="n">
        <v>137666.6666666667</v>
      </c>
      <c r="D20" s="20" t="n">
        <v>135483.8709677419</v>
      </c>
    </row>
    <row r="21" ht="21" customHeight="1">
      <c r="A21" s="6" t="inlineStr">
        <is>
          <t>Accounts payable</t>
        </is>
      </c>
      <c r="B21" s="20" t="n">
        <v>18548.38709677419</v>
      </c>
      <c r="C21" s="20" t="n">
        <v>19666.66666666667</v>
      </c>
      <c r="D21" s="20" t="n">
        <v>19354.83870967742</v>
      </c>
    </row>
    <row r="22" ht="21" customHeight="1">
      <c r="A22" s="6" t="inlineStr">
        <is>
          <t>Cash</t>
        </is>
      </c>
      <c r="B22" s="20" t="n">
        <v>24000</v>
      </c>
      <c r="C22" s="20" t="n">
        <v>27000</v>
      </c>
      <c r="D22" s="20" t="n">
        <v>30000</v>
      </c>
    </row>
    <row r="23" ht="21" customHeight="1">
      <c r="A23" s="6" t="inlineStr">
        <is>
          <t>Revolver balance</t>
        </is>
      </c>
      <c r="B23" s="20" t="n">
        <v>30000</v>
      </c>
      <c r="C23" s="20" t="n">
        <v>30000</v>
      </c>
      <c r="D23" s="20" t="n">
        <v>30000</v>
      </c>
    </row>
    <row r="24" ht="21" customHeight="1">
      <c r="A24" s="6" t="inlineStr">
        <is>
          <t>Existing customers at period end</t>
        </is>
      </c>
      <c r="B24" s="21" t="n">
        <v>960</v>
      </c>
      <c r="C24" s="21" t="n">
        <v>980</v>
      </c>
      <c r="D24" s="21" t="n">
        <v>1000</v>
      </c>
    </row>
    <row r="25" ht="21" customHeight="1">
      <c r="A25" s="6" t="inlineStr">
        <is>
          <t>Exit monthly ARPC</t>
        </is>
      </c>
      <c r="B25" s="20" t="n">
        <v>119.7916666666667</v>
      </c>
      <c r="C25" s="20" t="n">
        <v>120.4081632653061</v>
      </c>
      <c r="D25" s="20" t="n">
        <v>120</v>
      </c>
    </row>
    <row r="27" ht="42" customHeight="1">
      <c r="S27" s="11" t="inlineStr">
        <is>
          <t>December balances seed January. Cash taxes are based on positive earnings before tax; losses generate no refunds or tax-loss carryforward in this exercise.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38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COHORTS</t>
        </is>
      </c>
    </row>
    <row r="2" ht="17" customHeight="1"/>
    <row r="3" ht="23" customHeight="1">
      <c r="A3" s="2" t="inlineStr">
        <is>
          <t>B replacement only | Expected active customers and monthly recurring revenue by acquisition cohort.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>
      <c r="A6" s="4" t="inlineStr">
        <is>
          <t>EXPECTED ACTIVE CUSTOMERS</t>
        </is>
      </c>
    </row>
    <row r="8" ht="42" customHeight="1">
      <c r="A8" s="6" t="inlineStr">
        <is>
          <t>Existing base at 31-Dec-2025</t>
        </is>
      </c>
      <c r="E8" s="22">
        <f>Drivers!E12*(1-Drivers!E10)</f>
        <v/>
      </c>
      <c r="F8" s="22">
        <f>E8*(1-Drivers!F10)</f>
        <v/>
      </c>
      <c r="G8" s="22">
        <f>F8*(1-Drivers!G10)</f>
        <v/>
      </c>
      <c r="H8" s="22">
        <f>G8*(1-Drivers!H10)</f>
        <v/>
      </c>
      <c r="I8" s="22">
        <f>H8*(1-Drivers!I10)</f>
        <v/>
      </c>
      <c r="J8" s="22">
        <f>I8*(1-Drivers!J10)</f>
        <v/>
      </c>
      <c r="K8" s="22">
        <f>J8*(1-Drivers!K10)</f>
        <v/>
      </c>
      <c r="L8" s="22">
        <f>K8*(1-Drivers!L10)</f>
        <v/>
      </c>
      <c r="M8" s="22">
        <f>L8*(1-Drivers!M10)</f>
        <v/>
      </c>
      <c r="N8" s="22">
        <f>M8*(1-Drivers!N10)</f>
        <v/>
      </c>
      <c r="O8" s="22">
        <f>N8*(1-Drivers!O10)</f>
        <v/>
      </c>
      <c r="P8" s="22">
        <f>O8*(1-Drivers!P10)</f>
        <v/>
      </c>
      <c r="Q8" s="15">
        <f>IF(COUNT(E8:P8)=12,P8,"")</f>
        <v/>
      </c>
      <c r="S8" s="11" t="inlineStr">
        <is>
          <t>Existing base: churn starts in January. January expected customers = opening base x (1 - existing churn). Later months roll forward.</t>
        </is>
      </c>
    </row>
    <row r="9" ht="21" customHeight="1">
      <c r="A9" s="6" t="inlineStr">
        <is>
          <t>Jan-2026 acquisition cohort</t>
        </is>
      </c>
      <c r="E9" s="22">
        <f>Drivers!E9</f>
        <v/>
      </c>
      <c r="F9" s="22">
        <f>E9*(1-Drivers!F11)</f>
        <v/>
      </c>
      <c r="G9" s="22">
        <f>F9*(1-Drivers!G11)</f>
        <v/>
      </c>
      <c r="H9" s="22">
        <f>G9*(1-Drivers!H11)</f>
        <v/>
      </c>
      <c r="I9" s="22">
        <f>H9*(1-Drivers!I11)</f>
        <v/>
      </c>
      <c r="J9" s="22">
        <f>I9*(1-Drivers!J11)</f>
        <v/>
      </c>
      <c r="K9" s="22">
        <f>J9*(1-Drivers!K11)</f>
        <v/>
      </c>
      <c r="L9" s="22">
        <f>K9*(1-Drivers!L11)</f>
        <v/>
      </c>
      <c r="M9" s="22">
        <f>L9*(1-Drivers!M11)</f>
        <v/>
      </c>
      <c r="N9" s="22">
        <f>M9*(1-Drivers!N11)</f>
        <v/>
      </c>
      <c r="O9" s="22">
        <f>N9*(1-Drivers!O11)</f>
        <v/>
      </c>
      <c r="P9" s="22">
        <f>O9*(1-Drivers!P11)</f>
        <v/>
      </c>
      <c r="Q9" s="15">
        <f>IF(COUNT(E9:P9)=12,P9,"")</f>
        <v/>
      </c>
    </row>
    <row r="10" ht="21" customHeight="1">
      <c r="A10" s="6" t="inlineStr">
        <is>
          <t>Feb-2026 acquisition cohort</t>
        </is>
      </c>
      <c r="E10" s="22">
        <f>0</f>
        <v/>
      </c>
      <c r="F10" s="22">
        <f>Drivers!F9</f>
        <v/>
      </c>
      <c r="G10" s="22">
        <f>F10*(1-Drivers!G11)</f>
        <v/>
      </c>
      <c r="H10" s="22">
        <f>G10*(1-Drivers!H11)</f>
        <v/>
      </c>
      <c r="I10" s="22">
        <f>H10*(1-Drivers!I11)</f>
        <v/>
      </c>
      <c r="J10" s="22">
        <f>I10*(1-Drivers!J11)</f>
        <v/>
      </c>
      <c r="K10" s="22">
        <f>J10*(1-Drivers!K11)</f>
        <v/>
      </c>
      <c r="L10" s="22">
        <f>K10*(1-Drivers!L11)</f>
        <v/>
      </c>
      <c r="M10" s="22">
        <f>L10*(1-Drivers!M11)</f>
        <v/>
      </c>
      <c r="N10" s="22">
        <f>M10*(1-Drivers!N11)</f>
        <v/>
      </c>
      <c r="O10" s="22">
        <f>N10*(1-Drivers!O11)</f>
        <v/>
      </c>
      <c r="P10" s="22">
        <f>O10*(1-Drivers!P11)</f>
        <v/>
      </c>
      <c r="Q10" s="15">
        <f>IF(COUNT(E10:P10)=12,P10,"")</f>
        <v/>
      </c>
    </row>
    <row r="11" ht="21" customHeight="1">
      <c r="A11" s="6" t="inlineStr">
        <is>
          <t>Mar-2026 acquisition cohort</t>
        </is>
      </c>
      <c r="E11" s="22">
        <f>0</f>
        <v/>
      </c>
      <c r="F11" s="22">
        <f>0</f>
        <v/>
      </c>
      <c r="G11" s="22">
        <f>Drivers!G9</f>
        <v/>
      </c>
      <c r="H11" s="22">
        <f>G11*(1-Drivers!H11)</f>
        <v/>
      </c>
      <c r="I11" s="22">
        <f>H11*(1-Drivers!I11)</f>
        <v/>
      </c>
      <c r="J11" s="22">
        <f>I11*(1-Drivers!J11)</f>
        <v/>
      </c>
      <c r="K11" s="22">
        <f>J11*(1-Drivers!K11)</f>
        <v/>
      </c>
      <c r="L11" s="22">
        <f>K11*(1-Drivers!L11)</f>
        <v/>
      </c>
      <c r="M11" s="22">
        <f>L11*(1-Drivers!M11)</f>
        <v/>
      </c>
      <c r="N11" s="22">
        <f>M11*(1-Drivers!N11)</f>
        <v/>
      </c>
      <c r="O11" s="22">
        <f>N11*(1-Drivers!O11)</f>
        <v/>
      </c>
      <c r="P11" s="22">
        <f>O11*(1-Drivers!P11)</f>
        <v/>
      </c>
      <c r="Q11" s="15">
        <f>IF(COUNT(E11:P11)=12,P11,"")</f>
        <v/>
      </c>
    </row>
    <row r="12" ht="42" customHeight="1">
      <c r="A12" s="6" t="inlineStr">
        <is>
          <t>Apr-2026 acquisition cohort</t>
        </is>
      </c>
      <c r="E12" s="22">
        <f>0</f>
        <v/>
      </c>
      <c r="F12" s="22">
        <f>0</f>
        <v/>
      </c>
      <c r="G12" s="22">
        <f>0</f>
        <v/>
      </c>
      <c r="H12" s="22">
        <f>Drivers!H9</f>
        <v/>
      </c>
      <c r="I12" s="22">
        <f>H12*(1-Drivers!I11)</f>
        <v/>
      </c>
      <c r="J12" s="22">
        <f>I12*(1-Drivers!J11)</f>
        <v/>
      </c>
      <c r="K12" s="22">
        <f>J12*(1-Drivers!K11)</f>
        <v/>
      </c>
      <c r="L12" s="22">
        <f>K12*(1-Drivers!L11)</f>
        <v/>
      </c>
      <c r="M12" s="22">
        <f>L12*(1-Drivers!M11)</f>
        <v/>
      </c>
      <c r="N12" s="22">
        <f>M12*(1-Drivers!N11)</f>
        <v/>
      </c>
      <c r="O12" s="22">
        <f>N12*(1-Drivers!O11)</f>
        <v/>
      </c>
      <c r="P12" s="22">
        <f>O12*(1-Drivers!P11)</f>
        <v/>
      </c>
      <c r="Q12" s="15">
        <f>IF(COUNT(E12:P12)=12,P12,"")</f>
        <v/>
      </c>
      <c r="S12" s="11" t="inlineStr">
        <is>
          <t>New cohort: zero before launch; launch customers = that month's additions (no launch-month churn). Apply new-cohort churn in each later month.</t>
        </is>
      </c>
    </row>
    <row r="13" ht="21" customHeight="1">
      <c r="A13" s="6" t="inlineStr">
        <is>
          <t>May-2026 acquisition cohort</t>
        </is>
      </c>
      <c r="E13" s="22">
        <f>0</f>
        <v/>
      </c>
      <c r="F13" s="22">
        <f>0</f>
        <v/>
      </c>
      <c r="G13" s="22">
        <f>0</f>
        <v/>
      </c>
      <c r="H13" s="22">
        <f>0</f>
        <v/>
      </c>
      <c r="I13" s="22">
        <f>Drivers!I9</f>
        <v/>
      </c>
      <c r="J13" s="22">
        <f>I13*(1-Drivers!J11)</f>
        <v/>
      </c>
      <c r="K13" s="22">
        <f>J13*(1-Drivers!K11)</f>
        <v/>
      </c>
      <c r="L13" s="22">
        <f>K13*(1-Drivers!L11)</f>
        <v/>
      </c>
      <c r="M13" s="22">
        <f>L13*(1-Drivers!M11)</f>
        <v/>
      </c>
      <c r="N13" s="22">
        <f>M13*(1-Drivers!N11)</f>
        <v/>
      </c>
      <c r="O13" s="22">
        <f>N13*(1-Drivers!O11)</f>
        <v/>
      </c>
      <c r="P13" s="22">
        <f>O13*(1-Drivers!P11)</f>
        <v/>
      </c>
      <c r="Q13" s="15">
        <f>IF(COUNT(E13:P13)=12,P13,"")</f>
        <v/>
      </c>
    </row>
    <row r="14" ht="21" customHeight="1">
      <c r="A14" s="6" t="inlineStr">
        <is>
          <t>Jun-2026 acquisition cohort</t>
        </is>
      </c>
      <c r="E14" s="22">
        <f>0</f>
        <v/>
      </c>
      <c r="F14" s="22">
        <f>0</f>
        <v/>
      </c>
      <c r="G14" s="22">
        <f>0</f>
        <v/>
      </c>
      <c r="H14" s="22">
        <f>0</f>
        <v/>
      </c>
      <c r="I14" s="22">
        <f>0</f>
        <v/>
      </c>
      <c r="J14" s="22">
        <f>Drivers!J9</f>
        <v/>
      </c>
      <c r="K14" s="22">
        <f>J14*(1-Drivers!K11)</f>
        <v/>
      </c>
      <c r="L14" s="22">
        <f>K14*(1-Drivers!L11)</f>
        <v/>
      </c>
      <c r="M14" s="22">
        <f>L14*(1-Drivers!M11)</f>
        <v/>
      </c>
      <c r="N14" s="22">
        <f>M14*(1-Drivers!N11)</f>
        <v/>
      </c>
      <c r="O14" s="22">
        <f>N14*(1-Drivers!O11)</f>
        <v/>
      </c>
      <c r="P14" s="22">
        <f>O14*(1-Drivers!P11)</f>
        <v/>
      </c>
      <c r="Q14" s="15">
        <f>IF(COUNT(E14:P14)=12,P14,"")</f>
        <v/>
      </c>
    </row>
    <row r="15" ht="21" customHeight="1">
      <c r="A15" s="6" t="inlineStr">
        <is>
          <t>Jul-2026 acquisition cohort</t>
        </is>
      </c>
      <c r="E15" s="22">
        <f>0</f>
        <v/>
      </c>
      <c r="F15" s="22">
        <f>0</f>
        <v/>
      </c>
      <c r="G15" s="22">
        <f>0</f>
        <v/>
      </c>
      <c r="H15" s="22">
        <f>0</f>
        <v/>
      </c>
      <c r="I15" s="22">
        <f>0</f>
        <v/>
      </c>
      <c r="J15" s="22">
        <f>0</f>
        <v/>
      </c>
      <c r="K15" s="22">
        <f>Drivers!K9</f>
        <v/>
      </c>
      <c r="L15" s="22">
        <f>K15*(1-Drivers!L11)</f>
        <v/>
      </c>
      <c r="M15" s="22">
        <f>L15*(1-Drivers!M11)</f>
        <v/>
      </c>
      <c r="N15" s="22">
        <f>M15*(1-Drivers!N11)</f>
        <v/>
      </c>
      <c r="O15" s="22">
        <f>N15*(1-Drivers!O11)</f>
        <v/>
      </c>
      <c r="P15" s="22">
        <f>O15*(1-Drivers!P11)</f>
        <v/>
      </c>
      <c r="Q15" s="15">
        <f>IF(COUNT(E15:P15)=12,P15,"")</f>
        <v/>
      </c>
    </row>
    <row r="16" ht="21" customHeight="1">
      <c r="A16" s="6" t="inlineStr">
        <is>
          <t>Aug-2026 acquisition cohort</t>
        </is>
      </c>
      <c r="E16" s="22">
        <f>0</f>
        <v/>
      </c>
      <c r="F16" s="22">
        <f>0</f>
        <v/>
      </c>
      <c r="G16" s="22">
        <f>0</f>
        <v/>
      </c>
      <c r="H16" s="22">
        <f>0</f>
        <v/>
      </c>
      <c r="I16" s="22">
        <f>0</f>
        <v/>
      </c>
      <c r="J16" s="22">
        <f>0</f>
        <v/>
      </c>
      <c r="K16" s="22">
        <f>0</f>
        <v/>
      </c>
      <c r="L16" s="22">
        <f>Drivers!L9</f>
        <v/>
      </c>
      <c r="M16" s="22">
        <f>L16*(1-Drivers!M11)</f>
        <v/>
      </c>
      <c r="N16" s="22">
        <f>M16*(1-Drivers!N11)</f>
        <v/>
      </c>
      <c r="O16" s="22">
        <f>N16*(1-Drivers!O11)</f>
        <v/>
      </c>
      <c r="P16" s="22">
        <f>O16*(1-Drivers!P11)</f>
        <v/>
      </c>
      <c r="Q16" s="15">
        <f>IF(COUNT(E16:P16)=12,P16,"")</f>
        <v/>
      </c>
    </row>
    <row r="17" ht="42" customHeight="1">
      <c r="A17" s="6" t="inlineStr">
        <is>
          <t>Sep-2026 acquisition cohort</t>
        </is>
      </c>
      <c r="E17" s="22">
        <f>0</f>
        <v/>
      </c>
      <c r="F17" s="22">
        <f>0</f>
        <v/>
      </c>
      <c r="G17" s="22">
        <f>0</f>
        <v/>
      </c>
      <c r="H17" s="22">
        <f>0</f>
        <v/>
      </c>
      <c r="I17" s="22">
        <f>0</f>
        <v/>
      </c>
      <c r="J17" s="22">
        <f>0</f>
        <v/>
      </c>
      <c r="K17" s="22">
        <f>0</f>
        <v/>
      </c>
      <c r="L17" s="22">
        <f>0</f>
        <v/>
      </c>
      <c r="M17" s="22">
        <f>Drivers!M9</f>
        <v/>
      </c>
      <c r="N17" s="22">
        <f>M17*(1-Drivers!N11)</f>
        <v/>
      </c>
      <c r="O17" s="22">
        <f>N17*(1-Drivers!O11)</f>
        <v/>
      </c>
      <c r="P17" s="22">
        <f>O17*(1-Drivers!P11)</f>
        <v/>
      </c>
      <c r="Q17" s="15">
        <f>IF(COUNT(E17:P17)=12,P17,"")</f>
        <v/>
      </c>
      <c r="S17" s="11" t="inlineStr">
        <is>
          <t>Keep fractions. Use explicit =0 formulas in pre-launch cells so the total-row completion guards can count all 13 cohorts.</t>
        </is>
      </c>
    </row>
    <row r="18" ht="21" customHeight="1">
      <c r="A18" s="6" t="inlineStr">
        <is>
          <t>Oct-2026 acquisition cohort</t>
        </is>
      </c>
      <c r="E18" s="22">
        <f>0</f>
        <v/>
      </c>
      <c r="F18" s="22">
        <f>0</f>
        <v/>
      </c>
      <c r="G18" s="22">
        <f>0</f>
        <v/>
      </c>
      <c r="H18" s="22">
        <f>0</f>
        <v/>
      </c>
      <c r="I18" s="22">
        <f>0</f>
        <v/>
      </c>
      <c r="J18" s="22">
        <f>0</f>
        <v/>
      </c>
      <c r="K18" s="22">
        <f>0</f>
        <v/>
      </c>
      <c r="L18" s="22">
        <f>0</f>
        <v/>
      </c>
      <c r="M18" s="22">
        <f>0</f>
        <v/>
      </c>
      <c r="N18" s="22">
        <f>Drivers!N9</f>
        <v/>
      </c>
      <c r="O18" s="22">
        <f>N18*(1-Drivers!O11)</f>
        <v/>
      </c>
      <c r="P18" s="22">
        <f>O18*(1-Drivers!P11)</f>
        <v/>
      </c>
      <c r="Q18" s="15">
        <f>IF(COUNT(E18:P18)=12,P18,"")</f>
        <v/>
      </c>
    </row>
    <row r="19" ht="21" customHeight="1">
      <c r="A19" s="6" t="inlineStr">
        <is>
          <t>Nov-2026 acquisition cohort</t>
        </is>
      </c>
      <c r="E19" s="22">
        <f>0</f>
        <v/>
      </c>
      <c r="F19" s="22">
        <f>0</f>
        <v/>
      </c>
      <c r="G19" s="22">
        <f>0</f>
        <v/>
      </c>
      <c r="H19" s="22">
        <f>0</f>
        <v/>
      </c>
      <c r="I19" s="22">
        <f>0</f>
        <v/>
      </c>
      <c r="J19" s="22">
        <f>0</f>
        <v/>
      </c>
      <c r="K19" s="22">
        <f>0</f>
        <v/>
      </c>
      <c r="L19" s="22">
        <f>0</f>
        <v/>
      </c>
      <c r="M19" s="22">
        <f>0</f>
        <v/>
      </c>
      <c r="N19" s="22">
        <f>0</f>
        <v/>
      </c>
      <c r="O19" s="22">
        <f>Drivers!O9</f>
        <v/>
      </c>
      <c r="P19" s="22">
        <f>O19*(1-Drivers!P11)</f>
        <v/>
      </c>
      <c r="Q19" s="15">
        <f>IF(COUNT(E19:P19)=12,P19,"")</f>
        <v/>
      </c>
    </row>
    <row r="20" ht="21" customHeight="1">
      <c r="A20" s="6" t="inlineStr">
        <is>
          <t>Dec-2026 acquisition cohort</t>
        </is>
      </c>
      <c r="E20" s="22">
        <f>0</f>
        <v/>
      </c>
      <c r="F20" s="22">
        <f>0</f>
        <v/>
      </c>
      <c r="G20" s="22">
        <f>0</f>
        <v/>
      </c>
      <c r="H20" s="22">
        <f>0</f>
        <v/>
      </c>
      <c r="I20" s="22">
        <f>0</f>
        <v/>
      </c>
      <c r="J20" s="22">
        <f>0</f>
        <v/>
      </c>
      <c r="K20" s="22">
        <f>0</f>
        <v/>
      </c>
      <c r="L20" s="22">
        <f>0</f>
        <v/>
      </c>
      <c r="M20" s="22">
        <f>0</f>
        <v/>
      </c>
      <c r="N20" s="22">
        <f>0</f>
        <v/>
      </c>
      <c r="O20" s="22">
        <f>0</f>
        <v/>
      </c>
      <c r="P20" s="22">
        <f>Drivers!P9</f>
        <v/>
      </c>
      <c r="Q20" s="15">
        <f>IF(COUNT(E20:P20)=12,P20,"")</f>
        <v/>
      </c>
    </row>
    <row r="21" ht="21" customHeight="1">
      <c r="A21" s="6" t="inlineStr">
        <is>
          <t>Total active customers</t>
        </is>
      </c>
      <c r="E21" s="15">
        <f>IF(COUNT(E8:E20)=13,SUM(E8:E20),"")</f>
        <v/>
      </c>
      <c r="F21" s="15">
        <f>IF(COUNT(F8:F20)=13,SUM(F8:F20),"")</f>
        <v/>
      </c>
      <c r="G21" s="15">
        <f>IF(COUNT(G8:G20)=13,SUM(G8:G20),"")</f>
        <v/>
      </c>
      <c r="H21" s="15">
        <f>IF(COUNT(H8:H20)=13,SUM(H8:H20),"")</f>
        <v/>
      </c>
      <c r="I21" s="15">
        <f>IF(COUNT(I8:I20)=13,SUM(I8:I20),"")</f>
        <v/>
      </c>
      <c r="J21" s="15">
        <f>IF(COUNT(J8:J20)=13,SUM(J8:J20),"")</f>
        <v/>
      </c>
      <c r="K21" s="15">
        <f>IF(COUNT(K8:K20)=13,SUM(K8:K20),"")</f>
        <v/>
      </c>
      <c r="L21" s="15">
        <f>IF(COUNT(L8:L20)=13,SUM(L8:L20),"")</f>
        <v/>
      </c>
      <c r="M21" s="15">
        <f>IF(COUNT(M8:M20)=13,SUM(M8:M20),"")</f>
        <v/>
      </c>
      <c r="N21" s="15">
        <f>IF(COUNT(N8:N20)=13,SUM(N8:N20),"")</f>
        <v/>
      </c>
      <c r="O21" s="15">
        <f>IF(COUNT(O8:O20)=13,SUM(O8:O20),"")</f>
        <v/>
      </c>
      <c r="P21" s="15">
        <f>IF(COUNT(P8:P20)=13,SUM(P8:P20),"")</f>
        <v/>
      </c>
      <c r="Q21" s="15">
        <f>IF(COUNT(E21:P21)=12,P21,"")</f>
        <v/>
      </c>
    </row>
    <row r="23">
      <c r="A23" s="4" t="inlineStr">
        <is>
          <t>MONTHLY RECURRING REVENUE</t>
        </is>
      </c>
    </row>
    <row r="25" ht="42" customHeight="1">
      <c r="A25" s="6" t="inlineStr">
        <is>
          <t>Existing base at 31-Dec-2025</t>
        </is>
      </c>
      <c r="E25" s="23">
        <f>E8*Drivers!E13*(1+Drivers!E15)</f>
        <v/>
      </c>
      <c r="F25" s="23">
        <f>F8*Drivers!E13*(1+Drivers!E15)*(1+Drivers!F15)</f>
        <v/>
      </c>
      <c r="G25" s="23">
        <f>G8*Drivers!E13*(1+Drivers!E15)*(1+Drivers!F15)*(1+Drivers!G15)</f>
        <v/>
      </c>
      <c r="H25" s="23">
        <f>H8*Drivers!E13*(1+Drivers!E15)*(1+Drivers!F15)*(1+Drivers!G15)*(1+Drivers!H15)</f>
        <v/>
      </c>
      <c r="I25" s="23">
        <f>I8*Drivers!E13*(1+Drivers!E15)*(1+Drivers!F15)*(1+Drivers!G15)*(1+Drivers!H15)*(1+Drivers!I15)</f>
        <v/>
      </c>
      <c r="J25" s="23">
        <f>J8*Drivers!E13*(1+Drivers!E15)*(1+Drivers!F15)*(1+Drivers!G15)*(1+Drivers!H15)*(1+Drivers!I15)*(1+Drivers!J15)</f>
        <v/>
      </c>
      <c r="K25" s="23">
        <f>K8*Drivers!E13*(1+Drivers!E15)*(1+Drivers!F15)*(1+Drivers!G15)*(1+Drivers!H15)*(1+Drivers!I15)*(1+Drivers!J15)*(1+Drivers!K15)</f>
        <v/>
      </c>
      <c r="L25" s="23">
        <f>L8*Drivers!E13*(1+Drivers!E15)*(1+Drivers!F15)*(1+Drivers!G15)*(1+Drivers!H15)*(1+Drivers!I15)*(1+Drivers!J15)*(1+Drivers!K15)*(1+Drivers!L15)</f>
        <v/>
      </c>
      <c r="M25" s="23">
        <f>M8*Drivers!E13*(1+Drivers!E15)*(1+Drivers!F15)*(1+Drivers!G15)*(1+Drivers!H15)*(1+Drivers!I15)*(1+Drivers!J15)*(1+Drivers!K15)*(1+Drivers!L15)*(1+Drivers!M15)</f>
        <v/>
      </c>
      <c r="N25" s="23">
        <f>N8*Drivers!E13*(1+Drivers!E15)*(1+Drivers!F15)*(1+Drivers!G15)*(1+Drivers!H15)*(1+Drivers!I15)*(1+Drivers!J15)*(1+Drivers!K15)*(1+Drivers!L15)*(1+Drivers!M15)*(1+Drivers!N15)</f>
        <v/>
      </c>
      <c r="O25" s="23">
        <f>O8*Drivers!E13*(1+Drivers!E15)*(1+Drivers!F15)*(1+Drivers!G15)*(1+Drivers!H15)*(1+Drivers!I15)*(1+Drivers!J15)*(1+Drivers!K15)*(1+Drivers!L15)*(1+Drivers!M15)*(1+Drivers!N15)*(1+Drivers!O15)</f>
        <v/>
      </c>
      <c r="P25" s="23">
        <f>P8*Drivers!E13*(1+Drivers!E15)*(1+Drivers!F15)*(1+Drivers!G15)*(1+Drivers!H15)*(1+Drivers!I15)*(1+Drivers!J15)*(1+Drivers!K15)*(1+Drivers!L15)*(1+Drivers!M15)*(1+Drivers!N15)*(1+Drivers!O15)*(1+Drivers!P15)</f>
        <v/>
      </c>
      <c r="Q25" s="17">
        <f>IF(COUNT(E25:P25)=12,SUM(E25:P25),"")</f>
        <v/>
      </c>
      <c r="S25" s="11" t="inlineStr">
        <is>
          <t>Existing January MRR = active customers x starting ARPC x (1 + January uplift). Later MRR = prior MRR x customer-retention factor x (1 + current uplift).</t>
        </is>
      </c>
    </row>
    <row r="26" ht="21" customHeight="1">
      <c r="A26" s="6" t="inlineStr">
        <is>
          <t>Jan-2026 acquisition cohort</t>
        </is>
      </c>
      <c r="E26" s="23">
        <f>E9*Drivers!E14*(1+Drivers!E15)</f>
        <v/>
      </c>
      <c r="F26" s="23">
        <f>F9*Drivers!E14*(1+Drivers!E15)*(1+Drivers!F15)</f>
        <v/>
      </c>
      <c r="G26" s="23">
        <f>G9*Drivers!E14*(1+Drivers!E15)*(1+Drivers!F15)*(1+Drivers!G15)</f>
        <v/>
      </c>
      <c r="H26" s="23">
        <f>H9*Drivers!E14*(1+Drivers!E15)*(1+Drivers!F15)*(1+Drivers!G15)*(1+Drivers!H15)</f>
        <v/>
      </c>
      <c r="I26" s="23">
        <f>I9*Drivers!E14*(1+Drivers!E15)*(1+Drivers!F15)*(1+Drivers!G15)*(1+Drivers!H15)*(1+Drivers!I15)</f>
        <v/>
      </c>
      <c r="J26" s="23">
        <f>J9*Drivers!E14*(1+Drivers!E15)*(1+Drivers!F15)*(1+Drivers!G15)*(1+Drivers!H15)*(1+Drivers!I15)*(1+Drivers!J15)</f>
        <v/>
      </c>
      <c r="K26" s="23">
        <f>K9*Drivers!E14*(1+Drivers!E15)*(1+Drivers!F15)*(1+Drivers!G15)*(1+Drivers!H15)*(1+Drivers!I15)*(1+Drivers!J15)*(1+Drivers!K15)</f>
        <v/>
      </c>
      <c r="L26" s="23">
        <f>L9*Drivers!E14*(1+Drivers!E15)*(1+Drivers!F15)*(1+Drivers!G15)*(1+Drivers!H15)*(1+Drivers!I15)*(1+Drivers!J15)*(1+Drivers!K15)*(1+Drivers!L15)</f>
        <v/>
      </c>
      <c r="M26" s="23">
        <f>M9*Drivers!E14*(1+Drivers!E15)*(1+Drivers!F15)*(1+Drivers!G15)*(1+Drivers!H15)*(1+Drivers!I15)*(1+Drivers!J15)*(1+Drivers!K15)*(1+Drivers!L15)*(1+Drivers!M15)</f>
        <v/>
      </c>
      <c r="N26" s="23">
        <f>N9*Drivers!E14*(1+Drivers!E15)*(1+Drivers!F15)*(1+Drivers!G15)*(1+Drivers!H15)*(1+Drivers!I15)*(1+Drivers!J15)*(1+Drivers!K15)*(1+Drivers!L15)*(1+Drivers!M15)*(1+Drivers!N15)</f>
        <v/>
      </c>
      <c r="O26" s="23">
        <f>O9*Drivers!E14*(1+Drivers!E15)*(1+Drivers!F15)*(1+Drivers!G15)*(1+Drivers!H15)*(1+Drivers!I15)*(1+Drivers!J15)*(1+Drivers!K15)*(1+Drivers!L15)*(1+Drivers!M15)*(1+Drivers!N15)*(1+Drivers!O15)</f>
        <v/>
      </c>
      <c r="P26" s="23">
        <f>P9*Drivers!E14*(1+Drivers!E15)*(1+Drivers!F15)*(1+Drivers!G15)*(1+Drivers!H15)*(1+Drivers!I15)*(1+Drivers!J15)*(1+Drivers!K15)*(1+Drivers!L15)*(1+Drivers!M15)*(1+Drivers!N15)*(1+Drivers!O15)*(1+Drivers!P15)</f>
        <v/>
      </c>
      <c r="Q26" s="17">
        <f>IF(COUNT(E26:P26)=12,SUM(E26:P26),"")</f>
        <v/>
      </c>
    </row>
    <row r="27" ht="21" customHeight="1">
      <c r="A27" s="6" t="inlineStr">
        <is>
          <t>Feb-2026 acquisition cohort</t>
        </is>
      </c>
      <c r="E27" s="23">
        <f>0</f>
        <v/>
      </c>
      <c r="F27" s="23">
        <f>F10*Drivers!F14*(1+Drivers!F15)</f>
        <v/>
      </c>
      <c r="G27" s="23">
        <f>G10*Drivers!F14*(1+Drivers!F15)*(1+Drivers!G15)</f>
        <v/>
      </c>
      <c r="H27" s="23">
        <f>H10*Drivers!F14*(1+Drivers!F15)*(1+Drivers!G15)*(1+Drivers!H15)</f>
        <v/>
      </c>
      <c r="I27" s="23">
        <f>I10*Drivers!F14*(1+Drivers!F15)*(1+Drivers!G15)*(1+Drivers!H15)*(1+Drivers!I15)</f>
        <v/>
      </c>
      <c r="J27" s="23">
        <f>J10*Drivers!F14*(1+Drivers!F15)*(1+Drivers!G15)*(1+Drivers!H15)*(1+Drivers!I15)*(1+Drivers!J15)</f>
        <v/>
      </c>
      <c r="K27" s="23">
        <f>K10*Drivers!F14*(1+Drivers!F15)*(1+Drivers!G15)*(1+Drivers!H15)*(1+Drivers!I15)*(1+Drivers!J15)*(1+Drivers!K15)</f>
        <v/>
      </c>
      <c r="L27" s="23">
        <f>L10*Drivers!F14*(1+Drivers!F15)*(1+Drivers!G15)*(1+Drivers!H15)*(1+Drivers!I15)*(1+Drivers!J15)*(1+Drivers!K15)*(1+Drivers!L15)</f>
        <v/>
      </c>
      <c r="M27" s="23">
        <f>M10*Drivers!F14*(1+Drivers!F15)*(1+Drivers!G15)*(1+Drivers!H15)*(1+Drivers!I15)*(1+Drivers!J15)*(1+Drivers!K15)*(1+Drivers!L15)*(1+Drivers!M15)</f>
        <v/>
      </c>
      <c r="N27" s="23">
        <f>N10*Drivers!F14*(1+Drivers!F15)*(1+Drivers!G15)*(1+Drivers!H15)*(1+Drivers!I15)*(1+Drivers!J15)*(1+Drivers!K15)*(1+Drivers!L15)*(1+Drivers!M15)*(1+Drivers!N15)</f>
        <v/>
      </c>
      <c r="O27" s="23">
        <f>O10*Drivers!F14*(1+Drivers!F15)*(1+Drivers!G15)*(1+Drivers!H15)*(1+Drivers!I15)*(1+Drivers!J15)*(1+Drivers!K15)*(1+Drivers!L15)*(1+Drivers!M15)*(1+Drivers!N15)*(1+Drivers!O15)</f>
        <v/>
      </c>
      <c r="P27" s="23">
        <f>P10*Drivers!F14*(1+Drivers!F15)*(1+Drivers!G15)*(1+Drivers!H15)*(1+Drivers!I15)*(1+Drivers!J15)*(1+Drivers!K15)*(1+Drivers!L15)*(1+Drivers!M15)*(1+Drivers!N15)*(1+Drivers!O15)*(1+Drivers!P15)</f>
        <v/>
      </c>
      <c r="Q27" s="17">
        <f>IF(COUNT(E27:P27)=12,SUM(E27:P27),"")</f>
        <v/>
      </c>
    </row>
    <row r="28" ht="21" customHeight="1">
      <c r="A28" s="6" t="inlineStr">
        <is>
          <t>Mar-2026 acquisition cohort</t>
        </is>
      </c>
      <c r="E28" s="23">
        <f>0</f>
        <v/>
      </c>
      <c r="F28" s="23">
        <f>0</f>
        <v/>
      </c>
      <c r="G28" s="23">
        <f>G11*Drivers!G14*(1+Drivers!G15)</f>
        <v/>
      </c>
      <c r="H28" s="23">
        <f>H11*Drivers!G14*(1+Drivers!G15)*(1+Drivers!H15)</f>
        <v/>
      </c>
      <c r="I28" s="23">
        <f>I11*Drivers!G14*(1+Drivers!G15)*(1+Drivers!H15)*(1+Drivers!I15)</f>
        <v/>
      </c>
      <c r="J28" s="23">
        <f>J11*Drivers!G14*(1+Drivers!G15)*(1+Drivers!H15)*(1+Drivers!I15)*(1+Drivers!J15)</f>
        <v/>
      </c>
      <c r="K28" s="23">
        <f>K11*Drivers!G14*(1+Drivers!G15)*(1+Drivers!H15)*(1+Drivers!I15)*(1+Drivers!J15)*(1+Drivers!K15)</f>
        <v/>
      </c>
      <c r="L28" s="23">
        <f>L11*Drivers!G14*(1+Drivers!G15)*(1+Drivers!H15)*(1+Drivers!I15)*(1+Drivers!J15)*(1+Drivers!K15)*(1+Drivers!L15)</f>
        <v/>
      </c>
      <c r="M28" s="23">
        <f>M11*Drivers!G14*(1+Drivers!G15)*(1+Drivers!H15)*(1+Drivers!I15)*(1+Drivers!J15)*(1+Drivers!K15)*(1+Drivers!L15)*(1+Drivers!M15)</f>
        <v/>
      </c>
      <c r="N28" s="23">
        <f>N11*Drivers!G14*(1+Drivers!G15)*(1+Drivers!H15)*(1+Drivers!I15)*(1+Drivers!J15)*(1+Drivers!K15)*(1+Drivers!L15)*(1+Drivers!M15)*(1+Drivers!N15)</f>
        <v/>
      </c>
      <c r="O28" s="23">
        <f>O11*Drivers!G14*(1+Drivers!G15)*(1+Drivers!H15)*(1+Drivers!I15)*(1+Drivers!J15)*(1+Drivers!K15)*(1+Drivers!L15)*(1+Drivers!M15)*(1+Drivers!N15)*(1+Drivers!O15)</f>
        <v/>
      </c>
      <c r="P28" s="23">
        <f>P11*Drivers!G14*(1+Drivers!G15)*(1+Drivers!H15)*(1+Drivers!I15)*(1+Drivers!J15)*(1+Drivers!K15)*(1+Drivers!L15)*(1+Drivers!M15)*(1+Drivers!N15)*(1+Drivers!O15)*(1+Drivers!P15)</f>
        <v/>
      </c>
      <c r="Q28" s="17">
        <f>IF(COUNT(E28:P28)=12,SUM(E28:P28),"")</f>
        <v/>
      </c>
    </row>
    <row r="29" ht="21" customHeight="1">
      <c r="A29" s="6" t="inlineStr">
        <is>
          <t>Apr-2026 acquisition cohort</t>
        </is>
      </c>
      <c r="E29" s="23">
        <f>0</f>
        <v/>
      </c>
      <c r="F29" s="23">
        <f>0</f>
        <v/>
      </c>
      <c r="G29" s="23">
        <f>0</f>
        <v/>
      </c>
      <c r="H29" s="23">
        <f>H12*Drivers!H14*(1+Drivers!H15)</f>
        <v/>
      </c>
      <c r="I29" s="23">
        <f>I12*Drivers!H14*(1+Drivers!H15)*(1+Drivers!I15)</f>
        <v/>
      </c>
      <c r="J29" s="23">
        <f>J12*Drivers!H14*(1+Drivers!H15)*(1+Drivers!I15)*(1+Drivers!J15)</f>
        <v/>
      </c>
      <c r="K29" s="23">
        <f>K12*Drivers!H14*(1+Drivers!H15)*(1+Drivers!I15)*(1+Drivers!J15)*(1+Drivers!K15)</f>
        <v/>
      </c>
      <c r="L29" s="23">
        <f>L12*Drivers!H14*(1+Drivers!H15)*(1+Drivers!I15)*(1+Drivers!J15)*(1+Drivers!K15)*(1+Drivers!L15)</f>
        <v/>
      </c>
      <c r="M29" s="23">
        <f>M12*Drivers!H14*(1+Drivers!H15)*(1+Drivers!I15)*(1+Drivers!J15)*(1+Drivers!K15)*(1+Drivers!L15)*(1+Drivers!M15)</f>
        <v/>
      </c>
      <c r="N29" s="23">
        <f>N12*Drivers!H14*(1+Drivers!H15)*(1+Drivers!I15)*(1+Drivers!J15)*(1+Drivers!K15)*(1+Drivers!L15)*(1+Drivers!M15)*(1+Drivers!N15)</f>
        <v/>
      </c>
      <c r="O29" s="23">
        <f>O12*Drivers!H14*(1+Drivers!H15)*(1+Drivers!I15)*(1+Drivers!J15)*(1+Drivers!K15)*(1+Drivers!L15)*(1+Drivers!M15)*(1+Drivers!N15)*(1+Drivers!O15)</f>
        <v/>
      </c>
      <c r="P29" s="23">
        <f>P12*Drivers!H14*(1+Drivers!H15)*(1+Drivers!I15)*(1+Drivers!J15)*(1+Drivers!K15)*(1+Drivers!L15)*(1+Drivers!M15)*(1+Drivers!N15)*(1+Drivers!O15)*(1+Drivers!P15)</f>
        <v/>
      </c>
      <c r="Q29" s="17">
        <f>IF(COUNT(E29:P29)=12,SUM(E29:P29),"")</f>
        <v/>
      </c>
    </row>
    <row r="30" ht="42" customHeight="1">
      <c r="A30" s="6" t="inlineStr">
        <is>
          <t>May-2026 acquisition cohort</t>
        </is>
      </c>
      <c r="E30" s="23">
        <f>0</f>
        <v/>
      </c>
      <c r="F30" s="23">
        <f>0</f>
        <v/>
      </c>
      <c r="G30" s="23">
        <f>0</f>
        <v/>
      </c>
      <c r="H30" s="23">
        <f>0</f>
        <v/>
      </c>
      <c r="I30" s="23">
        <f>I13*Drivers!I14*(1+Drivers!I15)</f>
        <v/>
      </c>
      <c r="J30" s="23">
        <f>J13*Drivers!I14*(1+Drivers!I15)*(1+Drivers!J15)</f>
        <v/>
      </c>
      <c r="K30" s="23">
        <f>K13*Drivers!I14*(1+Drivers!I15)*(1+Drivers!J15)*(1+Drivers!K15)</f>
        <v/>
      </c>
      <c r="L30" s="23">
        <f>L13*Drivers!I14*(1+Drivers!I15)*(1+Drivers!J15)*(1+Drivers!K15)*(1+Drivers!L15)</f>
        <v/>
      </c>
      <c r="M30" s="23">
        <f>M13*Drivers!I14*(1+Drivers!I15)*(1+Drivers!J15)*(1+Drivers!K15)*(1+Drivers!L15)*(1+Drivers!M15)</f>
        <v/>
      </c>
      <c r="N30" s="23">
        <f>N13*Drivers!I14*(1+Drivers!I15)*(1+Drivers!J15)*(1+Drivers!K15)*(1+Drivers!L15)*(1+Drivers!M15)*(1+Drivers!N15)</f>
        <v/>
      </c>
      <c r="O30" s="23">
        <f>O13*Drivers!I14*(1+Drivers!I15)*(1+Drivers!J15)*(1+Drivers!K15)*(1+Drivers!L15)*(1+Drivers!M15)*(1+Drivers!N15)*(1+Drivers!O15)</f>
        <v/>
      </c>
      <c r="P30" s="23">
        <f>P13*Drivers!I14*(1+Drivers!I15)*(1+Drivers!J15)*(1+Drivers!K15)*(1+Drivers!L15)*(1+Drivers!M15)*(1+Drivers!N15)*(1+Drivers!O15)*(1+Drivers!P15)</f>
        <v/>
      </c>
      <c r="Q30" s="17">
        <f>IF(COUNT(E30:P30)=12,SUM(E30:P30),"")</f>
        <v/>
      </c>
      <c r="S30" s="11" t="inlineStr">
        <is>
          <t>New launch-month MRR = launch customers x launch-month starting ARPC x (1 + launch-month uplift). Later months roll prior MRR with new-cohort churn and the current uplift.</t>
        </is>
      </c>
    </row>
    <row r="31" ht="21" customHeight="1">
      <c r="A31" s="6" t="inlineStr">
        <is>
          <t>Jun-2026 acquisition cohort</t>
        </is>
      </c>
      <c r="E31" s="23">
        <f>0</f>
        <v/>
      </c>
      <c r="F31" s="23">
        <f>0</f>
        <v/>
      </c>
      <c r="G31" s="23">
        <f>0</f>
        <v/>
      </c>
      <c r="H31" s="23">
        <f>0</f>
        <v/>
      </c>
      <c r="I31" s="23">
        <f>0</f>
        <v/>
      </c>
      <c r="J31" s="23">
        <f>J14*Drivers!J14*(1+Drivers!J15)</f>
        <v/>
      </c>
      <c r="K31" s="23">
        <f>K14*Drivers!J14*(1+Drivers!J15)*(1+Drivers!K15)</f>
        <v/>
      </c>
      <c r="L31" s="23">
        <f>L14*Drivers!J14*(1+Drivers!J15)*(1+Drivers!K15)*(1+Drivers!L15)</f>
        <v/>
      </c>
      <c r="M31" s="23">
        <f>M14*Drivers!J14*(1+Drivers!J15)*(1+Drivers!K15)*(1+Drivers!L15)*(1+Drivers!M15)</f>
        <v/>
      </c>
      <c r="N31" s="23">
        <f>N14*Drivers!J14*(1+Drivers!J15)*(1+Drivers!K15)*(1+Drivers!L15)*(1+Drivers!M15)*(1+Drivers!N15)</f>
        <v/>
      </c>
      <c r="O31" s="23">
        <f>O14*Drivers!J14*(1+Drivers!J15)*(1+Drivers!K15)*(1+Drivers!L15)*(1+Drivers!M15)*(1+Drivers!N15)*(1+Drivers!O15)</f>
        <v/>
      </c>
      <c r="P31" s="23">
        <f>P14*Drivers!J14*(1+Drivers!J15)*(1+Drivers!K15)*(1+Drivers!L15)*(1+Drivers!M15)*(1+Drivers!N15)*(1+Drivers!O15)*(1+Drivers!P15)</f>
        <v/>
      </c>
      <c r="Q31" s="17">
        <f>IF(COUNT(E31:P31)=12,SUM(E31:P31),"")</f>
        <v/>
      </c>
    </row>
    <row r="32" ht="21" customHeight="1">
      <c r="A32" s="6" t="inlineStr">
        <is>
          <t>Jul-2026 acquisition cohort</t>
        </is>
      </c>
      <c r="E32" s="23">
        <f>0</f>
        <v/>
      </c>
      <c r="F32" s="23">
        <f>0</f>
        <v/>
      </c>
      <c r="G32" s="23">
        <f>0</f>
        <v/>
      </c>
      <c r="H32" s="23">
        <f>0</f>
        <v/>
      </c>
      <c r="I32" s="23">
        <f>0</f>
        <v/>
      </c>
      <c r="J32" s="23">
        <f>0</f>
        <v/>
      </c>
      <c r="K32" s="23">
        <f>K15*Drivers!K14*(1+Drivers!K15)</f>
        <v/>
      </c>
      <c r="L32" s="23">
        <f>L15*Drivers!K14*(1+Drivers!K15)*(1+Drivers!L15)</f>
        <v/>
      </c>
      <c r="M32" s="23">
        <f>M15*Drivers!K14*(1+Drivers!K15)*(1+Drivers!L15)*(1+Drivers!M15)</f>
        <v/>
      </c>
      <c r="N32" s="23">
        <f>N15*Drivers!K14*(1+Drivers!K15)*(1+Drivers!L15)*(1+Drivers!M15)*(1+Drivers!N15)</f>
        <v/>
      </c>
      <c r="O32" s="23">
        <f>O15*Drivers!K14*(1+Drivers!K15)*(1+Drivers!L15)*(1+Drivers!M15)*(1+Drivers!N15)*(1+Drivers!O15)</f>
        <v/>
      </c>
      <c r="P32" s="23">
        <f>P15*Drivers!K14*(1+Drivers!K15)*(1+Drivers!L15)*(1+Drivers!M15)*(1+Drivers!N15)*(1+Drivers!O15)*(1+Drivers!P15)</f>
        <v/>
      </c>
      <c r="Q32" s="17">
        <f>IF(COUNT(E32:P32)=12,SUM(E32:P32),"")</f>
        <v/>
      </c>
    </row>
    <row r="33" ht="21" customHeight="1">
      <c r="A33" s="6" t="inlineStr">
        <is>
          <t>Aug-2026 acquisition cohort</t>
        </is>
      </c>
      <c r="E33" s="23">
        <f>0</f>
        <v/>
      </c>
      <c r="F33" s="23">
        <f>0</f>
        <v/>
      </c>
      <c r="G33" s="23">
        <f>0</f>
        <v/>
      </c>
      <c r="H33" s="23">
        <f>0</f>
        <v/>
      </c>
      <c r="I33" s="23">
        <f>0</f>
        <v/>
      </c>
      <c r="J33" s="23">
        <f>0</f>
        <v/>
      </c>
      <c r="K33" s="23">
        <f>0</f>
        <v/>
      </c>
      <c r="L33" s="23">
        <f>L16*Drivers!L14*(1+Drivers!L15)</f>
        <v/>
      </c>
      <c r="M33" s="23">
        <f>M16*Drivers!L14*(1+Drivers!L15)*(1+Drivers!M15)</f>
        <v/>
      </c>
      <c r="N33" s="23">
        <f>N16*Drivers!L14*(1+Drivers!L15)*(1+Drivers!M15)*(1+Drivers!N15)</f>
        <v/>
      </c>
      <c r="O33" s="23">
        <f>O16*Drivers!L14*(1+Drivers!L15)*(1+Drivers!M15)*(1+Drivers!N15)*(1+Drivers!O15)</f>
        <v/>
      </c>
      <c r="P33" s="23">
        <f>P16*Drivers!L14*(1+Drivers!L15)*(1+Drivers!M15)*(1+Drivers!N15)*(1+Drivers!O15)*(1+Drivers!P15)</f>
        <v/>
      </c>
      <c r="Q33" s="17">
        <f>IF(COUNT(E33:P33)=12,SUM(E33:P33),"")</f>
        <v/>
      </c>
    </row>
    <row r="34" ht="21" customHeight="1">
      <c r="A34" s="6" t="inlineStr">
        <is>
          <t>Sep-2026 acquisition cohort</t>
        </is>
      </c>
      <c r="E34" s="23">
        <f>0</f>
        <v/>
      </c>
      <c r="F34" s="23">
        <f>0</f>
        <v/>
      </c>
      <c r="G34" s="23">
        <f>0</f>
        <v/>
      </c>
      <c r="H34" s="23">
        <f>0</f>
        <v/>
      </c>
      <c r="I34" s="23">
        <f>0</f>
        <v/>
      </c>
      <c r="J34" s="23">
        <f>0</f>
        <v/>
      </c>
      <c r="K34" s="23">
        <f>0</f>
        <v/>
      </c>
      <c r="L34" s="23">
        <f>0</f>
        <v/>
      </c>
      <c r="M34" s="23">
        <f>M17*Drivers!M14*(1+Drivers!M15)</f>
        <v/>
      </c>
      <c r="N34" s="23">
        <f>N17*Drivers!M14*(1+Drivers!M15)*(1+Drivers!N15)</f>
        <v/>
      </c>
      <c r="O34" s="23">
        <f>O17*Drivers!M14*(1+Drivers!M15)*(1+Drivers!N15)*(1+Drivers!O15)</f>
        <v/>
      </c>
      <c r="P34" s="23">
        <f>P17*Drivers!M14*(1+Drivers!M15)*(1+Drivers!N15)*(1+Drivers!O15)*(1+Drivers!P15)</f>
        <v/>
      </c>
      <c r="Q34" s="17">
        <f>IF(COUNT(E34:P34)=12,SUM(E34:P34),"")</f>
        <v/>
      </c>
    </row>
    <row r="35" ht="42" customHeight="1">
      <c r="A35" s="6" t="inlineStr">
        <is>
          <t>Oct-2026 acquisition cohort</t>
        </is>
      </c>
      <c r="E35" s="23">
        <f>0</f>
        <v/>
      </c>
      <c r="F35" s="23">
        <f>0</f>
        <v/>
      </c>
      <c r="G35" s="23">
        <f>0</f>
        <v/>
      </c>
      <c r="H35" s="23">
        <f>0</f>
        <v/>
      </c>
      <c r="I35" s="23">
        <f>0</f>
        <v/>
      </c>
      <c r="J35" s="23">
        <f>0</f>
        <v/>
      </c>
      <c r="K35" s="23">
        <f>0</f>
        <v/>
      </c>
      <c r="L35" s="23">
        <f>0</f>
        <v/>
      </c>
      <c r="M35" s="23">
        <f>0</f>
        <v/>
      </c>
      <c r="N35" s="23">
        <f>N18*Drivers!N14*(1+Drivers!N15)</f>
        <v/>
      </c>
      <c r="O35" s="23">
        <f>O18*Drivers!N14*(1+Drivers!N15)*(1+Drivers!O15)</f>
        <v/>
      </c>
      <c r="P35" s="23">
        <f>P18*Drivers!N14*(1+Drivers!N15)*(1+Drivers!O15)*(1+Drivers!P15)</f>
        <v/>
      </c>
      <c r="Q35" s="17">
        <f>IF(COUNT(E35:P35)=12,SUM(E35:P35),"")</f>
        <v/>
      </c>
      <c r="S35" s="11" t="inlineStr">
        <is>
          <t>Revenue equals MRR: full-month billing for all active expected customers; no services, bookings, annual prepayments, discounts or deferred revenue.</t>
        </is>
      </c>
    </row>
    <row r="36" ht="21" customHeight="1">
      <c r="A36" s="6" t="inlineStr">
        <is>
          <t>Nov-2026 acquisition cohort</t>
        </is>
      </c>
      <c r="E36" s="23">
        <f>0</f>
        <v/>
      </c>
      <c r="F36" s="23">
        <f>0</f>
        <v/>
      </c>
      <c r="G36" s="23">
        <f>0</f>
        <v/>
      </c>
      <c r="H36" s="23">
        <f>0</f>
        <v/>
      </c>
      <c r="I36" s="23">
        <f>0</f>
        <v/>
      </c>
      <c r="J36" s="23">
        <f>0</f>
        <v/>
      </c>
      <c r="K36" s="23">
        <f>0</f>
        <v/>
      </c>
      <c r="L36" s="23">
        <f>0</f>
        <v/>
      </c>
      <c r="M36" s="23">
        <f>0</f>
        <v/>
      </c>
      <c r="N36" s="23">
        <f>0</f>
        <v/>
      </c>
      <c r="O36" s="23">
        <f>O19*Drivers!O14*(1+Drivers!O15)</f>
        <v/>
      </c>
      <c r="P36" s="23">
        <f>P19*Drivers!O14*(1+Drivers!O15)*(1+Drivers!P15)</f>
        <v/>
      </c>
      <c r="Q36" s="17">
        <f>IF(COUNT(E36:P36)=12,SUM(E36:P36),"")</f>
        <v/>
      </c>
    </row>
    <row r="37" ht="21" customHeight="1">
      <c r="A37" s="6" t="inlineStr">
        <is>
          <t>Dec-2026 acquisition cohort</t>
        </is>
      </c>
      <c r="E37" s="23">
        <f>0</f>
        <v/>
      </c>
      <c r="F37" s="23">
        <f>0</f>
        <v/>
      </c>
      <c r="G37" s="23">
        <f>0</f>
        <v/>
      </c>
      <c r="H37" s="23">
        <f>0</f>
        <v/>
      </c>
      <c r="I37" s="23">
        <f>0</f>
        <v/>
      </c>
      <c r="J37" s="23">
        <f>0</f>
        <v/>
      </c>
      <c r="K37" s="23">
        <f>0</f>
        <v/>
      </c>
      <c r="L37" s="23">
        <f>0</f>
        <v/>
      </c>
      <c r="M37" s="23">
        <f>0</f>
        <v/>
      </c>
      <c r="N37" s="23">
        <f>0</f>
        <v/>
      </c>
      <c r="O37" s="23">
        <f>0</f>
        <v/>
      </c>
      <c r="P37" s="23">
        <f>P20*Drivers!P14*(1+Drivers!P15)</f>
        <v/>
      </c>
      <c r="Q37" s="17">
        <f>IF(COUNT(E37:P37)=12,SUM(E37:P37),"")</f>
        <v/>
      </c>
    </row>
    <row r="38" ht="21" customHeight="1">
      <c r="A38" s="6" t="inlineStr">
        <is>
          <t>Total monthly recurring revenue</t>
        </is>
      </c>
      <c r="E38" s="17">
        <f>IF(COUNT(E25:E37)=13,SUM(E25:E37),"")</f>
        <v/>
      </c>
      <c r="F38" s="17">
        <f>IF(COUNT(F25:F37)=13,SUM(F25:F37),"")</f>
        <v/>
      </c>
      <c r="G38" s="17">
        <f>IF(COUNT(G25:G37)=13,SUM(G25:G37),"")</f>
        <v/>
      </c>
      <c r="H38" s="17">
        <f>IF(COUNT(H25:H37)=13,SUM(H25:H37),"")</f>
        <v/>
      </c>
      <c r="I38" s="17">
        <f>IF(COUNT(I25:I37)=13,SUM(I25:I37),"")</f>
        <v/>
      </c>
      <c r="J38" s="17">
        <f>IF(COUNT(J25:J37)=13,SUM(J25:J37),"")</f>
        <v/>
      </c>
      <c r="K38" s="17">
        <f>IF(COUNT(K25:K37)=13,SUM(K25:K37),"")</f>
        <v/>
      </c>
      <c r="L38" s="17">
        <f>IF(COUNT(L25:L37)=13,SUM(L25:L37),"")</f>
        <v/>
      </c>
      <c r="M38" s="17">
        <f>IF(COUNT(M25:M37)=13,SUM(M25:M37),"")</f>
        <v/>
      </c>
      <c r="N38" s="17">
        <f>IF(COUNT(N25:N37)=13,SUM(N25:N37),"")</f>
        <v/>
      </c>
      <c r="O38" s="17">
        <f>IF(COUNT(O25:O37)=13,SUM(O25:O37),"")</f>
        <v/>
      </c>
      <c r="P38" s="17">
        <f>IF(COUNT(P25:P37)=13,SUM(P25:P37),"")</f>
        <v/>
      </c>
      <c r="Q38" s="17">
        <f>IF(COUNT(E38:P38)=12,SUM(E38:P38),"")</f>
        <v/>
      </c>
    </row>
  </sheetData>
  <mergeCells count="4">
    <mergeCell ref="A3:Q3"/>
    <mergeCell ref="A6:Q6"/>
    <mergeCell ref="A23:Q2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1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REVENUE</t>
        </is>
      </c>
    </row>
    <row r="2" ht="17" customHeight="1"/>
    <row r="3" ht="23" customHeight="1">
      <c r="A3" s="2" t="inlineStr">
        <is>
          <t>B | Initially growth-rate driven; after the follow-up, replace with cohort-linked revenue.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23">
        <f>Cohorts!E38</f>
        <v/>
      </c>
      <c r="F6" s="23">
        <f>Cohorts!F38</f>
        <v/>
      </c>
      <c r="G6" s="23">
        <f>Cohorts!G38</f>
        <v/>
      </c>
      <c r="H6" s="23">
        <f>Cohorts!H38</f>
        <v/>
      </c>
      <c r="I6" s="23">
        <f>Cohorts!I38</f>
        <v/>
      </c>
      <c r="J6" s="23">
        <f>Cohorts!J38</f>
        <v/>
      </c>
      <c r="K6" s="23">
        <f>Cohorts!K38</f>
        <v/>
      </c>
      <c r="L6" s="23">
        <f>Cohorts!L38</f>
        <v/>
      </c>
      <c r="M6" s="23">
        <f>Cohorts!M38</f>
        <v/>
      </c>
      <c r="N6" s="23">
        <f>Cohorts!N38</f>
        <v/>
      </c>
      <c r="O6" s="23">
        <f>Cohorts!O38</f>
        <v/>
      </c>
      <c r="P6" s="23">
        <f>Cohorts!P38</f>
        <v/>
      </c>
      <c r="Q6" s="17">
        <f>IF(COUNT(E6:P6)=12,SUM(E6:P6),"")</f>
        <v/>
      </c>
    </row>
    <row r="7" ht="21" customHeight="1">
      <c r="A7" s="6" t="inlineStr">
        <is>
          <t>Month-on-month revenue growth</t>
        </is>
      </c>
      <c r="C7" s="13">
        <f>C6/B6-1</f>
        <v/>
      </c>
      <c r="D7" s="13">
        <f>D6/C6-1</f>
        <v/>
      </c>
      <c r="E7" s="24">
        <f>E6/D6-1</f>
        <v/>
      </c>
      <c r="F7" s="24">
        <f>F6/E6-1</f>
        <v/>
      </c>
      <c r="G7" s="24">
        <f>G6/F6-1</f>
        <v/>
      </c>
      <c r="H7" s="24">
        <f>H6/G6-1</f>
        <v/>
      </c>
      <c r="I7" s="24">
        <f>I6/H6-1</f>
        <v/>
      </c>
      <c r="J7" s="24">
        <f>J6/I6-1</f>
        <v/>
      </c>
      <c r="K7" s="24">
        <f>K6/J6-1</f>
        <v/>
      </c>
      <c r="L7" s="24">
        <f>L6/K6-1</f>
        <v/>
      </c>
      <c r="M7" s="24">
        <f>M6/L6-1</f>
        <v/>
      </c>
      <c r="N7" s="24">
        <f>N6/M6-1</f>
        <v/>
      </c>
      <c r="O7" s="24">
        <f>O6/N6-1</f>
        <v/>
      </c>
      <c r="P7" s="24">
        <f>P6/O6-1</f>
        <v/>
      </c>
      <c r="Q7" s="13">
        <f>IF(COUNT(E7:P7)=12,P7,"")</f>
        <v/>
      </c>
    </row>
    <row r="8" ht="21" customHeight="1">
      <c r="A8" s="6" t="inlineStr">
        <is>
          <t>Exit monthly recurring revenue</t>
        </is>
      </c>
      <c r="B8" s="17">
        <f>Historical!B6</f>
        <v/>
      </c>
      <c r="C8" s="17">
        <f>Historical!C6</f>
        <v/>
      </c>
      <c r="D8" s="17">
        <f>Historical!D6</f>
        <v/>
      </c>
      <c r="E8" s="23">
        <f>E6</f>
        <v/>
      </c>
      <c r="F8" s="23">
        <f>F6</f>
        <v/>
      </c>
      <c r="G8" s="23">
        <f>G6</f>
        <v/>
      </c>
      <c r="H8" s="23">
        <f>H6</f>
        <v/>
      </c>
      <c r="I8" s="23">
        <f>I6</f>
        <v/>
      </c>
      <c r="J8" s="23">
        <f>J6</f>
        <v/>
      </c>
      <c r="K8" s="23">
        <f>K6</f>
        <v/>
      </c>
      <c r="L8" s="23">
        <f>L6</f>
        <v/>
      </c>
      <c r="M8" s="23">
        <f>M6</f>
        <v/>
      </c>
      <c r="N8" s="23">
        <f>N6</f>
        <v/>
      </c>
      <c r="O8" s="23">
        <f>O6</f>
        <v/>
      </c>
      <c r="P8" s="23">
        <f>P6</f>
        <v/>
      </c>
      <c r="Q8" s="17">
        <f>IF(COUNT(E8:P8)=12,P8,"")</f>
        <v/>
      </c>
    </row>
    <row r="9" ht="21" customHeight="1">
      <c r="A9" s="6" t="inlineStr">
        <is>
          <t>Active customers</t>
        </is>
      </c>
      <c r="B9" s="15">
        <f>Historical!B24</f>
        <v/>
      </c>
      <c r="C9" s="15">
        <f>Historical!C24</f>
        <v/>
      </c>
      <c r="D9" s="15">
        <f>Historical!D24</f>
        <v/>
      </c>
      <c r="E9" s="22">
        <f>Cohorts!E21</f>
        <v/>
      </c>
      <c r="F9" s="22">
        <f>Cohorts!F21</f>
        <v/>
      </c>
      <c r="G9" s="22">
        <f>Cohorts!G21</f>
        <v/>
      </c>
      <c r="H9" s="22">
        <f>Cohorts!H21</f>
        <v/>
      </c>
      <c r="I9" s="22">
        <f>Cohorts!I21</f>
        <v/>
      </c>
      <c r="J9" s="22">
        <f>Cohorts!J21</f>
        <v/>
      </c>
      <c r="K9" s="22">
        <f>Cohorts!K21</f>
        <v/>
      </c>
      <c r="L9" s="22">
        <f>Cohorts!L21</f>
        <v/>
      </c>
      <c r="M9" s="22">
        <f>Cohorts!M21</f>
        <v/>
      </c>
      <c r="N9" s="22">
        <f>Cohorts!N21</f>
        <v/>
      </c>
      <c r="O9" s="22">
        <f>Cohorts!O21</f>
        <v/>
      </c>
      <c r="P9" s="22">
        <f>Cohorts!P21</f>
        <v/>
      </c>
      <c r="Q9" s="15">
        <f>IF(COUNT(E9:P9)=12,P9,"")</f>
        <v/>
      </c>
    </row>
    <row r="10" ht="21" customHeight="1">
      <c r="A10" s="6" t="inlineStr">
        <is>
          <t>Blended monthly ARPC</t>
        </is>
      </c>
      <c r="B10" s="17">
        <f>Historical!B25</f>
        <v/>
      </c>
      <c r="C10" s="17">
        <f>Historical!C25</f>
        <v/>
      </c>
      <c r="D10" s="17">
        <f>Historical!D25</f>
        <v/>
      </c>
      <c r="E10" s="23">
        <f>E6/E9</f>
        <v/>
      </c>
      <c r="F10" s="23">
        <f>F6/F9</f>
        <v/>
      </c>
      <c r="G10" s="23">
        <f>G6/G9</f>
        <v/>
      </c>
      <c r="H10" s="23">
        <f>H6/H9</f>
        <v/>
      </c>
      <c r="I10" s="23">
        <f>I6/I9</f>
        <v/>
      </c>
      <c r="J10" s="23">
        <f>J6/J9</f>
        <v/>
      </c>
      <c r="K10" s="23">
        <f>K6/K9</f>
        <v/>
      </c>
      <c r="L10" s="23">
        <f>L6/L9</f>
        <v/>
      </c>
      <c r="M10" s="23">
        <f>M6/M9</f>
        <v/>
      </c>
      <c r="N10" s="23">
        <f>N6/N9</f>
        <v/>
      </c>
      <c r="O10" s="23">
        <f>O6/O9</f>
        <v/>
      </c>
      <c r="P10" s="23">
        <f>P6/P9</f>
        <v/>
      </c>
      <c r="Q10" s="17">
        <f>IF(COUNT(E10:P10)=12,P10,"")</f>
        <v/>
      </c>
    </row>
    <row r="13" ht="42" customHeight="1">
      <c r="S13" s="11" t="inlineStr">
        <is>
          <t>Initial method: monthly revenue = prior month revenue x (1 + Drivers row 6). Exit MRR equals revenue. Leave forecast rows 9-10 and all cohort targets blank.</t>
        </is>
      </c>
    </row>
    <row r="17" ht="42" customHeight="1">
      <c r="S17" s="11" t="inlineStr">
        <is>
          <t>Revised method: subscription revenue and exit MRR link to Cohorts row 38; active customers link to Cohorts row 21; blended ARPC = revenue / active customers.</t>
        </is>
      </c>
    </row>
    <row r="21" ht="42" customHeight="1">
      <c r="S21" s="11" t="inlineStr">
        <is>
          <t>Under either method, January growth compares with December historical revenue. All later growth compares with the immediately preceding month.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3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P&amp;L</t>
        </is>
      </c>
    </row>
    <row r="2" ht="17" customHeight="1"/>
    <row r="3" ht="23" customHeight="1">
      <c r="A3" s="2" t="inlineStr">
        <is>
          <t>C | Complete operating expenses and earnings; revenue links are already installed.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17">
        <f>IF(ISNUMBER(Revenue!E6),Revenue!E6,"")</f>
        <v/>
      </c>
      <c r="F6" s="17">
        <f>IF(ISNUMBER(Revenue!F6),Revenue!F6,"")</f>
        <v/>
      </c>
      <c r="G6" s="17">
        <f>IF(ISNUMBER(Revenue!G6),Revenue!G6,"")</f>
        <v/>
      </c>
      <c r="H6" s="17">
        <f>IF(ISNUMBER(Revenue!H6),Revenue!H6,"")</f>
        <v/>
      </c>
      <c r="I6" s="17">
        <f>IF(ISNUMBER(Revenue!I6),Revenue!I6,"")</f>
        <v/>
      </c>
      <c r="J6" s="17">
        <f>IF(ISNUMBER(Revenue!J6),Revenue!J6,"")</f>
        <v/>
      </c>
      <c r="K6" s="17">
        <f>IF(ISNUMBER(Revenue!K6),Revenue!K6,"")</f>
        <v/>
      </c>
      <c r="L6" s="17">
        <f>IF(ISNUMBER(Revenue!L6),Revenue!L6,"")</f>
        <v/>
      </c>
      <c r="M6" s="17">
        <f>IF(ISNUMBER(Revenue!M6),Revenue!M6,"")</f>
        <v/>
      </c>
      <c r="N6" s="17">
        <f>IF(ISNUMBER(Revenue!N6),Revenue!N6,"")</f>
        <v/>
      </c>
      <c r="O6" s="17">
        <f>IF(ISNUMBER(Revenue!O6),Revenue!O6,"")</f>
        <v/>
      </c>
      <c r="P6" s="17">
        <f>IF(ISNUMBER(Revenue!P6),Revenue!P6,"")</f>
        <v/>
      </c>
      <c r="Q6" s="17">
        <f>IF(COUNT(E6:P6)=12,SUM(E6:P6),"")</f>
        <v/>
      </c>
    </row>
    <row r="7" ht="21" customHeight="1">
      <c r="A7" s="6" t="inlineStr">
        <is>
          <t>Hosting cost</t>
        </is>
      </c>
      <c r="B7" s="17">
        <f>Historical!B7</f>
        <v/>
      </c>
      <c r="C7" s="17">
        <f>Historical!C7</f>
        <v/>
      </c>
      <c r="D7" s="17">
        <f>Historical!D7</f>
        <v/>
      </c>
      <c r="E7" s="23">
        <f>E6*Drivers!E7</f>
        <v/>
      </c>
      <c r="F7" s="23">
        <f>F6*Drivers!F7</f>
        <v/>
      </c>
      <c r="G7" s="23">
        <f>G6*Drivers!G7</f>
        <v/>
      </c>
      <c r="H7" s="23">
        <f>H6*Drivers!H7</f>
        <v/>
      </c>
      <c r="I7" s="23">
        <f>I6*Drivers!I7</f>
        <v/>
      </c>
      <c r="J7" s="23">
        <f>J6*Drivers!J7</f>
        <v/>
      </c>
      <c r="K7" s="23">
        <f>K6*Drivers!K7</f>
        <v/>
      </c>
      <c r="L7" s="23">
        <f>L6*Drivers!L7</f>
        <v/>
      </c>
      <c r="M7" s="23">
        <f>M6*Drivers!M7</f>
        <v/>
      </c>
      <c r="N7" s="23">
        <f>N6*Drivers!N7</f>
        <v/>
      </c>
      <c r="O7" s="23">
        <f>O6*Drivers!O7</f>
        <v/>
      </c>
      <c r="P7" s="23">
        <f>P6*Drivers!P7</f>
        <v/>
      </c>
      <c r="Q7" s="17">
        <f>IF(COUNT(E7:P7)=12,SUM(E7:P7),"")</f>
        <v/>
      </c>
    </row>
    <row r="8" ht="21" customHeight="1">
      <c r="A8" s="6" t="inlineStr">
        <is>
          <t>Gross profit</t>
        </is>
      </c>
      <c r="B8" s="17">
        <f>Historical!B8</f>
        <v/>
      </c>
      <c r="C8" s="17">
        <f>Historical!C8</f>
        <v/>
      </c>
      <c r="D8" s="17">
        <f>Historical!D8</f>
        <v/>
      </c>
      <c r="E8" s="23">
        <f>E6-E7</f>
        <v/>
      </c>
      <c r="F8" s="23">
        <f>F6-F7</f>
        <v/>
      </c>
      <c r="G8" s="23">
        <f>G6-G7</f>
        <v/>
      </c>
      <c r="H8" s="23">
        <f>H6-H7</f>
        <v/>
      </c>
      <c r="I8" s="23">
        <f>I6-I7</f>
        <v/>
      </c>
      <c r="J8" s="23">
        <f>J6-J7</f>
        <v/>
      </c>
      <c r="K8" s="23">
        <f>K6-K7</f>
        <v/>
      </c>
      <c r="L8" s="23">
        <f>L6-L7</f>
        <v/>
      </c>
      <c r="M8" s="23">
        <f>M6-M7</f>
        <v/>
      </c>
      <c r="N8" s="23">
        <f>N6-N7</f>
        <v/>
      </c>
      <c r="O8" s="23">
        <f>O6-O7</f>
        <v/>
      </c>
      <c r="P8" s="23">
        <f>P6-P7</f>
        <v/>
      </c>
      <c r="Q8" s="17">
        <f>IF(COUNT(E8:P8)=12,SUM(E8:P8),"")</f>
        <v/>
      </c>
    </row>
    <row r="9" ht="21" customHeight="1">
      <c r="A9" s="6" t="inlineStr">
        <is>
          <t>Payroll</t>
        </is>
      </c>
      <c r="B9" s="17">
        <f>Historical!B9</f>
        <v/>
      </c>
      <c r="C9" s="17">
        <f>Historical!C9</f>
        <v/>
      </c>
      <c r="D9" s="17">
        <f>Historical!D9</f>
        <v/>
      </c>
      <c r="E9" s="23">
        <f>D9*(1+Drivers!E18)</f>
        <v/>
      </c>
      <c r="F9" s="23">
        <f>E9*(1+Drivers!F18)</f>
        <v/>
      </c>
      <c r="G9" s="23">
        <f>F9*(1+Drivers!G18)</f>
        <v/>
      </c>
      <c r="H9" s="23">
        <f>G9*(1+Drivers!H18)</f>
        <v/>
      </c>
      <c r="I9" s="23">
        <f>H9*(1+Drivers!I18)</f>
        <v/>
      </c>
      <c r="J9" s="23">
        <f>I9*(1+Drivers!J18)</f>
        <v/>
      </c>
      <c r="K9" s="23">
        <f>J9*(1+Drivers!K18)</f>
        <v/>
      </c>
      <c r="L9" s="23">
        <f>K9*(1+Drivers!L18)</f>
        <v/>
      </c>
      <c r="M9" s="23">
        <f>L9*(1+Drivers!M18)</f>
        <v/>
      </c>
      <c r="N9" s="23">
        <f>M9*(1+Drivers!N18)</f>
        <v/>
      </c>
      <c r="O9" s="23">
        <f>N9*(1+Drivers!O18)</f>
        <v/>
      </c>
      <c r="P9" s="23">
        <f>O9*(1+Drivers!P18)</f>
        <v/>
      </c>
      <c r="Q9" s="17">
        <f>IF(COUNT(E9:P9)=12,SUM(E9:P9),"")</f>
        <v/>
      </c>
    </row>
    <row r="10" ht="21" customHeight="1">
      <c r="A10" s="6" t="inlineStr">
        <is>
          <t>Sales &amp; marketing</t>
        </is>
      </c>
      <c r="B10" s="17">
        <f>Historical!B10</f>
        <v/>
      </c>
      <c r="C10" s="17">
        <f>Historical!C10</f>
        <v/>
      </c>
      <c r="D10" s="17">
        <f>Historical!D10</f>
        <v/>
      </c>
      <c r="E10" s="23">
        <f>E6*Drivers!E19</f>
        <v/>
      </c>
      <c r="F10" s="23">
        <f>F6*Drivers!F19</f>
        <v/>
      </c>
      <c r="G10" s="23">
        <f>G6*Drivers!G19</f>
        <v/>
      </c>
      <c r="H10" s="23">
        <f>H6*Drivers!H19</f>
        <v/>
      </c>
      <c r="I10" s="23">
        <f>I6*Drivers!I19</f>
        <v/>
      </c>
      <c r="J10" s="23">
        <f>J6*Drivers!J19</f>
        <v/>
      </c>
      <c r="K10" s="23">
        <f>K6*Drivers!K19</f>
        <v/>
      </c>
      <c r="L10" s="23">
        <f>L6*Drivers!L19</f>
        <v/>
      </c>
      <c r="M10" s="23">
        <f>M6*Drivers!M19</f>
        <v/>
      </c>
      <c r="N10" s="23">
        <f>N6*Drivers!N19</f>
        <v/>
      </c>
      <c r="O10" s="23">
        <f>O6*Drivers!O19</f>
        <v/>
      </c>
      <c r="P10" s="23">
        <f>P6*Drivers!P19</f>
        <v/>
      </c>
      <c r="Q10" s="17">
        <f>IF(COUNT(E10:P10)=12,SUM(E10:P10),"")</f>
        <v/>
      </c>
    </row>
    <row r="11" ht="21" customHeight="1">
      <c r="A11" s="6" t="inlineStr">
        <is>
          <t>General &amp; administrative</t>
        </is>
      </c>
      <c r="B11" s="17">
        <f>Historical!B11</f>
        <v/>
      </c>
      <c r="C11" s="17">
        <f>Historical!C11</f>
        <v/>
      </c>
      <c r="D11" s="17">
        <f>Historical!D11</f>
        <v/>
      </c>
      <c r="E11" s="23">
        <f>D11*(1+Drivers!E20)</f>
        <v/>
      </c>
      <c r="F11" s="23">
        <f>E11*(1+Drivers!F20)</f>
        <v/>
      </c>
      <c r="G11" s="23">
        <f>F11*(1+Drivers!G20)</f>
        <v/>
      </c>
      <c r="H11" s="23">
        <f>G11*(1+Drivers!H20)</f>
        <v/>
      </c>
      <c r="I11" s="23">
        <f>H11*(1+Drivers!I20)</f>
        <v/>
      </c>
      <c r="J11" s="23">
        <f>I11*(1+Drivers!J20)</f>
        <v/>
      </c>
      <c r="K11" s="23">
        <f>J11*(1+Drivers!K20)</f>
        <v/>
      </c>
      <c r="L11" s="23">
        <f>K11*(1+Drivers!L20)</f>
        <v/>
      </c>
      <c r="M11" s="23">
        <f>L11*(1+Drivers!M20)</f>
        <v/>
      </c>
      <c r="N11" s="23">
        <f>M11*(1+Drivers!N20)</f>
        <v/>
      </c>
      <c r="O11" s="23">
        <f>N11*(1+Drivers!O20)</f>
        <v/>
      </c>
      <c r="P11" s="23">
        <f>O11*(1+Drivers!P20)</f>
        <v/>
      </c>
      <c r="Q11" s="17">
        <f>IF(COUNT(E11:P11)=12,SUM(E11:P11),"")</f>
        <v/>
      </c>
    </row>
    <row r="12" ht="21" customHeight="1">
      <c r="A12" s="6" t="inlineStr">
        <is>
          <t>EBITDA</t>
        </is>
      </c>
      <c r="B12" s="17">
        <f>Historical!B12</f>
        <v/>
      </c>
      <c r="C12" s="17">
        <f>Historical!C12</f>
        <v/>
      </c>
      <c r="D12" s="17">
        <f>Historical!D12</f>
        <v/>
      </c>
      <c r="E12" s="23">
        <f>E8-E9-E10-E11</f>
        <v/>
      </c>
      <c r="F12" s="23">
        <f>F8-F9-F10-F11</f>
        <v/>
      </c>
      <c r="G12" s="23">
        <f>G8-G9-G10-G11</f>
        <v/>
      </c>
      <c r="H12" s="23">
        <f>H8-H9-H10-H11</f>
        <v/>
      </c>
      <c r="I12" s="23">
        <f>I8-I9-I10-I11</f>
        <v/>
      </c>
      <c r="J12" s="23">
        <f>J8-J9-J10-J11</f>
        <v/>
      </c>
      <c r="K12" s="23">
        <f>K8-K9-K10-K11</f>
        <v/>
      </c>
      <c r="L12" s="23">
        <f>L8-L9-L10-L11</f>
        <v/>
      </c>
      <c r="M12" s="23">
        <f>M8-M9-M10-M11</f>
        <v/>
      </c>
      <c r="N12" s="23">
        <f>N8-N9-N10-N11</f>
        <v/>
      </c>
      <c r="O12" s="23">
        <f>O8-O9-O10-O11</f>
        <v/>
      </c>
      <c r="P12" s="23">
        <f>P8-P9-P10-P11</f>
        <v/>
      </c>
      <c r="Q12" s="17">
        <f>IF(COUNT(E12:P12)=12,SUM(E12:P12),"")</f>
        <v/>
      </c>
    </row>
    <row r="13" ht="21" customHeight="1">
      <c r="A13" s="6" t="inlineStr">
        <is>
          <t>Depreciation</t>
        </is>
      </c>
      <c r="B13" s="17">
        <f>Historical!B13</f>
        <v/>
      </c>
      <c r="C13" s="17">
        <f>Historical!C13</f>
        <v/>
      </c>
      <c r="D13" s="17">
        <f>Historical!D13</f>
        <v/>
      </c>
      <c r="E13" s="23">
        <f>Drivers!E21</f>
        <v/>
      </c>
      <c r="F13" s="23">
        <f>Drivers!F21</f>
        <v/>
      </c>
      <c r="G13" s="23">
        <f>Drivers!G21</f>
        <v/>
      </c>
      <c r="H13" s="23">
        <f>Drivers!H21</f>
        <v/>
      </c>
      <c r="I13" s="23">
        <f>Drivers!I21</f>
        <v/>
      </c>
      <c r="J13" s="23">
        <f>Drivers!J21</f>
        <v/>
      </c>
      <c r="K13" s="23">
        <f>Drivers!K21</f>
        <v/>
      </c>
      <c r="L13" s="23">
        <f>Drivers!L21</f>
        <v/>
      </c>
      <c r="M13" s="23">
        <f>Drivers!M21</f>
        <v/>
      </c>
      <c r="N13" s="23">
        <f>Drivers!N21</f>
        <v/>
      </c>
      <c r="O13" s="23">
        <f>Drivers!O21</f>
        <v/>
      </c>
      <c r="P13" s="23">
        <f>Drivers!P21</f>
        <v/>
      </c>
      <c r="Q13" s="17">
        <f>IF(COUNT(E13:P13)=12,SUM(E13:P13),"")</f>
        <v/>
      </c>
    </row>
    <row r="14" ht="21" customHeight="1">
      <c r="A14" s="6" t="inlineStr">
        <is>
          <t>EBIT</t>
        </is>
      </c>
      <c r="B14" s="17">
        <f>Historical!B14</f>
        <v/>
      </c>
      <c r="C14" s="17">
        <f>Historical!C14</f>
        <v/>
      </c>
      <c r="D14" s="17">
        <f>Historical!D14</f>
        <v/>
      </c>
      <c r="E14" s="23">
        <f>E12-E13</f>
        <v/>
      </c>
      <c r="F14" s="23">
        <f>F12-F13</f>
        <v/>
      </c>
      <c r="G14" s="23">
        <f>G12-G13</f>
        <v/>
      </c>
      <c r="H14" s="23">
        <f>H12-H13</f>
        <v/>
      </c>
      <c r="I14" s="23">
        <f>I12-I13</f>
        <v/>
      </c>
      <c r="J14" s="23">
        <f>J12-J13</f>
        <v/>
      </c>
      <c r="K14" s="23">
        <f>K12-K13</f>
        <v/>
      </c>
      <c r="L14" s="23">
        <f>L12-L13</f>
        <v/>
      </c>
      <c r="M14" s="23">
        <f>M12-M13</f>
        <v/>
      </c>
      <c r="N14" s="23">
        <f>N12-N13</f>
        <v/>
      </c>
      <c r="O14" s="23">
        <f>O12-O13</f>
        <v/>
      </c>
      <c r="P14" s="23">
        <f>P12-P13</f>
        <v/>
      </c>
      <c r="Q14" s="17">
        <f>IF(COUNT(E14:P14)=12,SUM(E14:P14),"")</f>
        <v/>
      </c>
    </row>
    <row r="15" ht="21" customHeight="1">
      <c r="A15" s="6" t="inlineStr">
        <is>
          <t>Interest</t>
        </is>
      </c>
      <c r="B15" s="17">
        <f>Historical!B15</f>
        <v/>
      </c>
      <c r="C15" s="17">
        <f>Historical!C15</f>
        <v/>
      </c>
      <c r="D15" s="17">
        <f>Historical!D15</f>
        <v/>
      </c>
      <c r="E15" s="23">
        <f>'Cash Flow'!E13*Drivers!E24/12</f>
        <v/>
      </c>
      <c r="F15" s="23">
        <f>'Cash Flow'!F13*Drivers!F24/12</f>
        <v/>
      </c>
      <c r="G15" s="23">
        <f>'Cash Flow'!G13*Drivers!G24/12</f>
        <v/>
      </c>
      <c r="H15" s="23">
        <f>'Cash Flow'!H13*Drivers!H24/12</f>
        <v/>
      </c>
      <c r="I15" s="23">
        <f>'Cash Flow'!I13*Drivers!I24/12</f>
        <v/>
      </c>
      <c r="J15" s="23">
        <f>'Cash Flow'!J13*Drivers!J24/12</f>
        <v/>
      </c>
      <c r="K15" s="23">
        <f>'Cash Flow'!K13*Drivers!K24/12</f>
        <v/>
      </c>
      <c r="L15" s="23">
        <f>'Cash Flow'!L13*Drivers!L24/12</f>
        <v/>
      </c>
      <c r="M15" s="23">
        <f>'Cash Flow'!M13*Drivers!M24/12</f>
        <v/>
      </c>
      <c r="N15" s="23">
        <f>'Cash Flow'!N13*Drivers!N24/12</f>
        <v/>
      </c>
      <c r="O15" s="23">
        <f>'Cash Flow'!O13*Drivers!O24/12</f>
        <v/>
      </c>
      <c r="P15" s="23">
        <f>'Cash Flow'!P13*Drivers!P24/12</f>
        <v/>
      </c>
      <c r="Q15" s="17">
        <f>IF(COUNT(E15:P15)=12,SUM(E15:P15),"")</f>
        <v/>
      </c>
    </row>
    <row r="16" ht="21" customHeight="1">
      <c r="A16" s="6" t="inlineStr">
        <is>
          <t>Cash taxes</t>
        </is>
      </c>
      <c r="B16" s="17">
        <f>Historical!B16</f>
        <v/>
      </c>
      <c r="C16" s="17">
        <f>Historical!C16</f>
        <v/>
      </c>
      <c r="D16" s="17">
        <f>Historical!D16</f>
        <v/>
      </c>
      <c r="E16" s="23">
        <f>MAX(E14-E15,0)*Drivers!E8</f>
        <v/>
      </c>
      <c r="F16" s="23">
        <f>MAX(F14-F15,0)*Drivers!F8</f>
        <v/>
      </c>
      <c r="G16" s="23">
        <f>MAX(G14-G15,0)*Drivers!G8</f>
        <v/>
      </c>
      <c r="H16" s="23">
        <f>MAX(H14-H15,0)*Drivers!H8</f>
        <v/>
      </c>
      <c r="I16" s="23">
        <f>MAX(I14-I15,0)*Drivers!I8</f>
        <v/>
      </c>
      <c r="J16" s="23">
        <f>MAX(J14-J15,0)*Drivers!J8</f>
        <v/>
      </c>
      <c r="K16" s="23">
        <f>MAX(K14-K15,0)*Drivers!K8</f>
        <v/>
      </c>
      <c r="L16" s="23">
        <f>MAX(L14-L15,0)*Drivers!L8</f>
        <v/>
      </c>
      <c r="M16" s="23">
        <f>MAX(M14-M15,0)*Drivers!M8</f>
        <v/>
      </c>
      <c r="N16" s="23">
        <f>MAX(N14-N15,0)*Drivers!N8</f>
        <v/>
      </c>
      <c r="O16" s="23">
        <f>MAX(O14-O15,0)*Drivers!O8</f>
        <v/>
      </c>
      <c r="P16" s="23">
        <f>MAX(P14-P15,0)*Drivers!P8</f>
        <v/>
      </c>
      <c r="Q16" s="17">
        <f>IF(COUNT(E16:P16)=12,SUM(E16:P16),"")</f>
        <v/>
      </c>
    </row>
    <row r="17" ht="21" customHeight="1">
      <c r="A17" s="6" t="inlineStr">
        <is>
          <t>Net income</t>
        </is>
      </c>
      <c r="B17" s="17">
        <f>Historical!B17</f>
        <v/>
      </c>
      <c r="C17" s="17">
        <f>Historical!C17</f>
        <v/>
      </c>
      <c r="D17" s="17">
        <f>Historical!D17</f>
        <v/>
      </c>
      <c r="E17" s="23">
        <f>E14-E15-E16</f>
        <v/>
      </c>
      <c r="F17" s="23">
        <f>F14-F15-F16</f>
        <v/>
      </c>
      <c r="G17" s="23">
        <f>G14-G15-G16</f>
        <v/>
      </c>
      <c r="H17" s="23">
        <f>H14-H15-H16</f>
        <v/>
      </c>
      <c r="I17" s="23">
        <f>I14-I15-I16</f>
        <v/>
      </c>
      <c r="J17" s="23">
        <f>J14-J15-J16</f>
        <v/>
      </c>
      <c r="K17" s="23">
        <f>K14-K15-K16</f>
        <v/>
      </c>
      <c r="L17" s="23">
        <f>L14-L15-L16</f>
        <v/>
      </c>
      <c r="M17" s="23">
        <f>M14-M15-M16</f>
        <v/>
      </c>
      <c r="N17" s="23">
        <f>N14-N15-N16</f>
        <v/>
      </c>
      <c r="O17" s="23">
        <f>O14-O15-O16</f>
        <v/>
      </c>
      <c r="P17" s="23">
        <f>P14-P15-P16</f>
        <v/>
      </c>
      <c r="Q17" s="17">
        <f>IF(COUNT(E17:P17)=12,SUM(E17:P17),"")</f>
        <v/>
      </c>
    </row>
    <row r="20" ht="42" customHeight="1">
      <c r="S20" s="11" t="inlineStr">
        <is>
          <t>Expenses are positive values. Gross profit = revenue - hosting. EBITDA = gross profit - payroll - S&amp;M - G&amp;A. EBIT = EBITDA - depreciation.</t>
        </is>
      </c>
    </row>
    <row r="23" ht="42" customHeight="1">
      <c r="S23" s="11" t="inlineStr">
        <is>
          <t>Interest uses OPENING revolver debt x annual interest / 12. Taxes = MAX(EBIT - interest, 0) x tax rate. Net income = EBIT - interest - taxes.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1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WORKING CAPITAL</t>
        </is>
      </c>
    </row>
    <row r="2" ht="17" customHeight="1"/>
    <row r="3" ht="23" customHeight="1">
      <c r="A3" s="2" t="inlineStr">
        <is>
          <t>A | Forecast receivables and payables using actual calendar days, then compute cash movements.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Accounts receivable</t>
        </is>
      </c>
      <c r="B6" s="17">
        <f>Historical!B20</f>
        <v/>
      </c>
      <c r="C6" s="17">
        <f>Historical!C20</f>
        <v/>
      </c>
      <c r="D6" s="17">
        <f>Historical!D20</f>
        <v/>
      </c>
      <c r="E6" s="23">
        <f>Revenue!E6/Drivers!E25*Drivers!E16</f>
        <v/>
      </c>
      <c r="F6" s="23">
        <f>Revenue!F6/Drivers!F25*Drivers!F16</f>
        <v/>
      </c>
      <c r="G6" s="23">
        <f>Revenue!G6/Drivers!G25*Drivers!G16</f>
        <v/>
      </c>
      <c r="H6" s="23">
        <f>Revenue!H6/Drivers!H25*Drivers!H16</f>
        <v/>
      </c>
      <c r="I6" s="23">
        <f>Revenue!I6/Drivers!I25*Drivers!I16</f>
        <v/>
      </c>
      <c r="J6" s="23">
        <f>Revenue!J6/Drivers!J25*Drivers!J16</f>
        <v/>
      </c>
      <c r="K6" s="23">
        <f>Revenue!K6/Drivers!K25*Drivers!K16</f>
        <v/>
      </c>
      <c r="L6" s="23">
        <f>Revenue!L6/Drivers!L25*Drivers!L16</f>
        <v/>
      </c>
      <c r="M6" s="23">
        <f>Revenue!M6/Drivers!M25*Drivers!M16</f>
        <v/>
      </c>
      <c r="N6" s="23">
        <f>Revenue!N6/Drivers!N25*Drivers!N16</f>
        <v/>
      </c>
      <c r="O6" s="23">
        <f>Revenue!O6/Drivers!O25*Drivers!O16</f>
        <v/>
      </c>
      <c r="P6" s="23">
        <f>Revenue!P6/Drivers!P25*Drivers!P16</f>
        <v/>
      </c>
      <c r="Q6" s="17">
        <f>IF(COUNT(E6:P6)=12,P6,"")</f>
        <v/>
      </c>
    </row>
    <row r="7" ht="21" customHeight="1">
      <c r="A7" s="6" t="inlineStr">
        <is>
          <t>Accounts payable</t>
        </is>
      </c>
      <c r="B7" s="17">
        <f>Historical!B21</f>
        <v/>
      </c>
      <c r="C7" s="17">
        <f>Historical!C21</f>
        <v/>
      </c>
      <c r="D7" s="17">
        <f>Historical!D21</f>
        <v/>
      </c>
      <c r="E7" s="23">
        <f>'P&amp;L'!E7/Drivers!E25*Drivers!E17</f>
        <v/>
      </c>
      <c r="F7" s="23">
        <f>'P&amp;L'!F7/Drivers!F25*Drivers!F17</f>
        <v/>
      </c>
      <c r="G7" s="23">
        <f>'P&amp;L'!G7/Drivers!G25*Drivers!G17</f>
        <v/>
      </c>
      <c r="H7" s="23">
        <f>'P&amp;L'!H7/Drivers!H25*Drivers!H17</f>
        <v/>
      </c>
      <c r="I7" s="23">
        <f>'P&amp;L'!I7/Drivers!I25*Drivers!I17</f>
        <v/>
      </c>
      <c r="J7" s="23">
        <f>'P&amp;L'!J7/Drivers!J25*Drivers!J17</f>
        <v/>
      </c>
      <c r="K7" s="23">
        <f>'P&amp;L'!K7/Drivers!K25*Drivers!K17</f>
        <v/>
      </c>
      <c r="L7" s="23">
        <f>'P&amp;L'!L7/Drivers!L25*Drivers!L17</f>
        <v/>
      </c>
      <c r="M7" s="23">
        <f>'P&amp;L'!M7/Drivers!M25*Drivers!M17</f>
        <v/>
      </c>
      <c r="N7" s="23">
        <f>'P&amp;L'!N7/Drivers!N25*Drivers!N17</f>
        <v/>
      </c>
      <c r="O7" s="23">
        <f>'P&amp;L'!O7/Drivers!O25*Drivers!O17</f>
        <v/>
      </c>
      <c r="P7" s="23">
        <f>'P&amp;L'!P7/Drivers!P25*Drivers!P17</f>
        <v/>
      </c>
      <c r="Q7" s="17">
        <f>IF(COUNT(E7:P7)=12,P7,"")</f>
        <v/>
      </c>
    </row>
    <row r="8" ht="21" customHeight="1">
      <c r="A8" s="6" t="inlineStr">
        <is>
          <t>Net operating working capital</t>
        </is>
      </c>
      <c r="B8" s="17">
        <f>B6-B7</f>
        <v/>
      </c>
      <c r="C8" s="17">
        <f>C6-C7</f>
        <v/>
      </c>
      <c r="D8" s="17">
        <f>D6-D7</f>
        <v/>
      </c>
      <c r="E8" s="23">
        <f>E6-E7</f>
        <v/>
      </c>
      <c r="F8" s="23">
        <f>F6-F7</f>
        <v/>
      </c>
      <c r="G8" s="23">
        <f>G6-G7</f>
        <v/>
      </c>
      <c r="H8" s="23">
        <f>H6-H7</f>
        <v/>
      </c>
      <c r="I8" s="23">
        <f>I6-I7</f>
        <v/>
      </c>
      <c r="J8" s="23">
        <f>J6-J7</f>
        <v/>
      </c>
      <c r="K8" s="23">
        <f>K6-K7</f>
        <v/>
      </c>
      <c r="L8" s="23">
        <f>L6-L7</f>
        <v/>
      </c>
      <c r="M8" s="23">
        <f>M6-M7</f>
        <v/>
      </c>
      <c r="N8" s="23">
        <f>N6-N7</f>
        <v/>
      </c>
      <c r="O8" s="23">
        <f>O6-O7</f>
        <v/>
      </c>
      <c r="P8" s="23">
        <f>P6-P7</f>
        <v/>
      </c>
      <c r="Q8" s="17">
        <f>IF(COUNT(E8:P8)=12,P8,"")</f>
        <v/>
      </c>
    </row>
    <row r="10" ht="21" customHeight="1">
      <c r="A10" s="6" t="inlineStr">
        <is>
          <t>Increase / (decrease) in AR</t>
        </is>
      </c>
      <c r="E10" s="23">
        <f>E6-D6</f>
        <v/>
      </c>
      <c r="F10" s="23">
        <f>F6-E6</f>
        <v/>
      </c>
      <c r="G10" s="23">
        <f>G6-F6</f>
        <v/>
      </c>
      <c r="H10" s="23">
        <f>H6-G6</f>
        <v/>
      </c>
      <c r="I10" s="23">
        <f>I6-H6</f>
        <v/>
      </c>
      <c r="J10" s="23">
        <f>J6-I6</f>
        <v/>
      </c>
      <c r="K10" s="23">
        <f>K6-J6</f>
        <v/>
      </c>
      <c r="L10" s="23">
        <f>L6-K6</f>
        <v/>
      </c>
      <c r="M10" s="23">
        <f>M6-L6</f>
        <v/>
      </c>
      <c r="N10" s="23">
        <f>N6-M6</f>
        <v/>
      </c>
      <c r="O10" s="23">
        <f>O6-N6</f>
        <v/>
      </c>
      <c r="P10" s="23">
        <f>P6-O6</f>
        <v/>
      </c>
      <c r="Q10" s="17">
        <f>IF(COUNT(E10:P10)=12,SUM(E10:P10),"")</f>
        <v/>
      </c>
    </row>
    <row r="11" ht="21" customHeight="1">
      <c r="A11" s="6" t="inlineStr">
        <is>
          <t>Increase / (decrease) in AP</t>
        </is>
      </c>
      <c r="E11" s="23">
        <f>E7-D7</f>
        <v/>
      </c>
      <c r="F11" s="23">
        <f>F7-E7</f>
        <v/>
      </c>
      <c r="G11" s="23">
        <f>G7-F7</f>
        <v/>
      </c>
      <c r="H11" s="23">
        <f>H7-G7</f>
        <v/>
      </c>
      <c r="I11" s="23">
        <f>I7-H7</f>
        <v/>
      </c>
      <c r="J11" s="23">
        <f>J7-I7</f>
        <v/>
      </c>
      <c r="K11" s="23">
        <f>K7-J7</f>
        <v/>
      </c>
      <c r="L11" s="23">
        <f>L7-K7</f>
        <v/>
      </c>
      <c r="M11" s="23">
        <f>M7-L7</f>
        <v/>
      </c>
      <c r="N11" s="23">
        <f>N7-M7</f>
        <v/>
      </c>
      <c r="O11" s="23">
        <f>O7-N7</f>
        <v/>
      </c>
      <c r="P11" s="23">
        <f>P7-O7</f>
        <v/>
      </c>
      <c r="Q11" s="17">
        <f>IF(COUNT(E11:P11)=12,SUM(E11:P11),"")</f>
        <v/>
      </c>
    </row>
    <row r="12" ht="21" customHeight="1">
      <c r="A12" s="6" t="inlineStr">
        <is>
          <t>Working-capital cash impact</t>
        </is>
      </c>
      <c r="E12" s="23">
        <f>-E10+E11</f>
        <v/>
      </c>
      <c r="F12" s="23">
        <f>-F10+F11</f>
        <v/>
      </c>
      <c r="G12" s="23">
        <f>-G10+G11</f>
        <v/>
      </c>
      <c r="H12" s="23">
        <f>-H10+H11</f>
        <v/>
      </c>
      <c r="I12" s="23">
        <f>-I10+I11</f>
        <v/>
      </c>
      <c r="J12" s="23">
        <f>-J10+J11</f>
        <v/>
      </c>
      <c r="K12" s="23">
        <f>-K10+K11</f>
        <v/>
      </c>
      <c r="L12" s="23">
        <f>-L10+L11</f>
        <v/>
      </c>
      <c r="M12" s="23">
        <f>-M10+M11</f>
        <v/>
      </c>
      <c r="N12" s="23">
        <f>-N10+N11</f>
        <v/>
      </c>
      <c r="O12" s="23">
        <f>-O10+O11</f>
        <v/>
      </c>
      <c r="P12" s="23">
        <f>-P10+P11</f>
        <v/>
      </c>
      <c r="Q12" s="17">
        <f>IF(COUNT(E12:P12)=12,SUM(E12:P12),"")</f>
        <v/>
      </c>
    </row>
    <row r="15" ht="42" customHeight="1">
      <c r="S15" s="11" t="inlineStr">
        <is>
          <t>AR = current-month revenue / days in month x DSO. AP = current-month hosting cost / days in month x DPO. No inventory, accrued payroll or other operating balances.</t>
        </is>
      </c>
    </row>
    <row r="19" ht="42" customHeight="1">
      <c r="S19" s="11" t="inlineStr">
        <is>
          <t>Monthly movements = current balance - prior balance; January uses December actuals. Cash impact = -change in AR + change in AP.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CASH FLOW</t>
        </is>
      </c>
    </row>
    <row r="2" ht="17" customHeight="1"/>
    <row r="3" ht="23" customHeight="1">
      <c r="A3" s="2" t="inlineStr">
        <is>
          <t>C | Close the cash and revolver schedules without circular references.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Opening cash</t>
        </is>
      </c>
      <c r="E6" s="17">
        <f>IF(ISNUMBER(Historical!D22),Historical!D22,"")</f>
        <v/>
      </c>
      <c r="F6" s="17">
        <f>IF(ISNUMBER(E17),E17,"")</f>
        <v/>
      </c>
      <c r="G6" s="17">
        <f>IF(ISNUMBER(F17),F17,"")</f>
        <v/>
      </c>
      <c r="H6" s="17">
        <f>IF(ISNUMBER(G17),G17,"")</f>
        <v/>
      </c>
      <c r="I6" s="17">
        <f>IF(ISNUMBER(H17),H17,"")</f>
        <v/>
      </c>
      <c r="J6" s="17">
        <f>IF(ISNUMBER(I17),I17,"")</f>
        <v/>
      </c>
      <c r="K6" s="17">
        <f>IF(ISNUMBER(J17),J17,"")</f>
        <v/>
      </c>
      <c r="L6" s="17">
        <f>IF(ISNUMBER(K17),K17,"")</f>
        <v/>
      </c>
      <c r="M6" s="17">
        <f>IF(ISNUMBER(L17),L17,"")</f>
        <v/>
      </c>
      <c r="N6" s="17">
        <f>IF(ISNUMBER(M17),M17,"")</f>
        <v/>
      </c>
      <c r="O6" s="17">
        <f>IF(ISNUMBER(N17),N17,"")</f>
        <v/>
      </c>
      <c r="P6" s="17">
        <f>IF(ISNUMBER(O17),O17,"")</f>
        <v/>
      </c>
      <c r="Q6" s="17">
        <f>IF(ISNUMBER(E6),E6,"")</f>
        <v/>
      </c>
    </row>
    <row r="7" ht="21" customHeight="1">
      <c r="A7" s="6" t="inlineStr">
        <is>
          <t>Net income</t>
        </is>
      </c>
      <c r="E7" s="17">
        <f>IF(ISNUMBER('P&amp;L'!E17),'P&amp;L'!E17,"")</f>
        <v/>
      </c>
      <c r="F7" s="17">
        <f>IF(ISNUMBER('P&amp;L'!F17),'P&amp;L'!F17,"")</f>
        <v/>
      </c>
      <c r="G7" s="17">
        <f>IF(ISNUMBER('P&amp;L'!G17),'P&amp;L'!G17,"")</f>
        <v/>
      </c>
      <c r="H7" s="17">
        <f>IF(ISNUMBER('P&amp;L'!H17),'P&amp;L'!H17,"")</f>
        <v/>
      </c>
      <c r="I7" s="17">
        <f>IF(ISNUMBER('P&amp;L'!I17),'P&amp;L'!I17,"")</f>
        <v/>
      </c>
      <c r="J7" s="17">
        <f>IF(ISNUMBER('P&amp;L'!J17),'P&amp;L'!J17,"")</f>
        <v/>
      </c>
      <c r="K7" s="17">
        <f>IF(ISNUMBER('P&amp;L'!K17),'P&amp;L'!K17,"")</f>
        <v/>
      </c>
      <c r="L7" s="17">
        <f>IF(ISNUMBER('P&amp;L'!L17),'P&amp;L'!L17,"")</f>
        <v/>
      </c>
      <c r="M7" s="17">
        <f>IF(ISNUMBER('P&amp;L'!M17),'P&amp;L'!M17,"")</f>
        <v/>
      </c>
      <c r="N7" s="17">
        <f>IF(ISNUMBER('P&amp;L'!N17),'P&amp;L'!N17,"")</f>
        <v/>
      </c>
      <c r="O7" s="17">
        <f>IF(ISNUMBER('P&amp;L'!O17),'P&amp;L'!O17,"")</f>
        <v/>
      </c>
      <c r="P7" s="17">
        <f>IF(ISNUMBER('P&amp;L'!P17),'P&amp;L'!P17,"")</f>
        <v/>
      </c>
      <c r="Q7" s="17">
        <f>IF(COUNT(E7:P7)=12,SUM(E7:P7),"")</f>
        <v/>
      </c>
    </row>
    <row r="8" ht="21" customHeight="1">
      <c r="A8" s="6" t="inlineStr">
        <is>
          <t>Depreciation add-back</t>
        </is>
      </c>
      <c r="E8" s="17">
        <f>IF(ISNUMBER('P&amp;L'!E13),'P&amp;L'!E13,"")</f>
        <v/>
      </c>
      <c r="F8" s="17">
        <f>IF(ISNUMBER('P&amp;L'!F13),'P&amp;L'!F13,"")</f>
        <v/>
      </c>
      <c r="G8" s="17">
        <f>IF(ISNUMBER('P&amp;L'!G13),'P&amp;L'!G13,"")</f>
        <v/>
      </c>
      <c r="H8" s="17">
        <f>IF(ISNUMBER('P&amp;L'!H13),'P&amp;L'!H13,"")</f>
        <v/>
      </c>
      <c r="I8" s="17">
        <f>IF(ISNUMBER('P&amp;L'!I13),'P&amp;L'!I13,"")</f>
        <v/>
      </c>
      <c r="J8" s="17">
        <f>IF(ISNUMBER('P&amp;L'!J13),'P&amp;L'!J13,"")</f>
        <v/>
      </c>
      <c r="K8" s="17">
        <f>IF(ISNUMBER('P&amp;L'!K13),'P&amp;L'!K13,"")</f>
        <v/>
      </c>
      <c r="L8" s="17">
        <f>IF(ISNUMBER('P&amp;L'!L13),'P&amp;L'!L13,"")</f>
        <v/>
      </c>
      <c r="M8" s="17">
        <f>IF(ISNUMBER('P&amp;L'!M13),'P&amp;L'!M13,"")</f>
        <v/>
      </c>
      <c r="N8" s="17">
        <f>IF(ISNUMBER('P&amp;L'!N13),'P&amp;L'!N13,"")</f>
        <v/>
      </c>
      <c r="O8" s="17">
        <f>IF(ISNUMBER('P&amp;L'!O13),'P&amp;L'!O13,"")</f>
        <v/>
      </c>
      <c r="P8" s="17">
        <f>IF(ISNUMBER('P&amp;L'!P13),'P&amp;L'!P13,"")</f>
        <v/>
      </c>
      <c r="Q8" s="17">
        <f>IF(COUNT(E8:P8)=12,SUM(E8:P8),"")</f>
        <v/>
      </c>
    </row>
    <row r="9" ht="21" customHeight="1">
      <c r="A9" s="6" t="inlineStr">
        <is>
          <t>Working-capital cash impact</t>
        </is>
      </c>
      <c r="E9" s="17">
        <f>IF(ISNUMBER('Working Capital'!E12),'Working Capital'!E12,"")</f>
        <v/>
      </c>
      <c r="F9" s="17">
        <f>IF(ISNUMBER('Working Capital'!F12),'Working Capital'!F12,"")</f>
        <v/>
      </c>
      <c r="G9" s="17">
        <f>IF(ISNUMBER('Working Capital'!G12),'Working Capital'!G12,"")</f>
        <v/>
      </c>
      <c r="H9" s="17">
        <f>IF(ISNUMBER('Working Capital'!H12),'Working Capital'!H12,"")</f>
        <v/>
      </c>
      <c r="I9" s="17">
        <f>IF(ISNUMBER('Working Capital'!I12),'Working Capital'!I12,"")</f>
        <v/>
      </c>
      <c r="J9" s="17">
        <f>IF(ISNUMBER('Working Capital'!J12),'Working Capital'!J12,"")</f>
        <v/>
      </c>
      <c r="K9" s="17">
        <f>IF(ISNUMBER('Working Capital'!K12),'Working Capital'!K12,"")</f>
        <v/>
      </c>
      <c r="L9" s="17">
        <f>IF(ISNUMBER('Working Capital'!L12),'Working Capital'!L12,"")</f>
        <v/>
      </c>
      <c r="M9" s="17">
        <f>IF(ISNUMBER('Working Capital'!M12),'Working Capital'!M12,"")</f>
        <v/>
      </c>
      <c r="N9" s="17">
        <f>IF(ISNUMBER('Working Capital'!N12),'Working Capital'!N12,"")</f>
        <v/>
      </c>
      <c r="O9" s="17">
        <f>IF(ISNUMBER('Working Capital'!O12),'Working Capital'!O12,"")</f>
        <v/>
      </c>
      <c r="P9" s="17">
        <f>IF(ISNUMBER('Working Capital'!P12),'Working Capital'!P12,"")</f>
        <v/>
      </c>
      <c r="Q9" s="17">
        <f>IF(COUNT(E9:P9)=12,SUM(E9:P9),"")</f>
        <v/>
      </c>
    </row>
    <row r="10" ht="21" customHeight="1">
      <c r="A10" s="6" t="inlineStr">
        <is>
          <t>Cash flow from operations</t>
        </is>
      </c>
      <c r="E10" s="23">
        <f>E7+E8+E9</f>
        <v/>
      </c>
      <c r="F10" s="23">
        <f>F7+F8+F9</f>
        <v/>
      </c>
      <c r="G10" s="23">
        <f>G7+G8+G9</f>
        <v/>
      </c>
      <c r="H10" s="23">
        <f>H7+H8+H9</f>
        <v/>
      </c>
      <c r="I10" s="23">
        <f>I7+I8+I9</f>
        <v/>
      </c>
      <c r="J10" s="23">
        <f>J7+J8+J9</f>
        <v/>
      </c>
      <c r="K10" s="23">
        <f>K7+K8+K9</f>
        <v/>
      </c>
      <c r="L10" s="23">
        <f>L7+L8+L9</f>
        <v/>
      </c>
      <c r="M10" s="23">
        <f>M7+M8+M9</f>
        <v/>
      </c>
      <c r="N10" s="23">
        <f>N7+N8+N9</f>
        <v/>
      </c>
      <c r="O10" s="23">
        <f>O7+O8+O9</f>
        <v/>
      </c>
      <c r="P10" s="23">
        <f>P7+P8+P9</f>
        <v/>
      </c>
      <c r="Q10" s="17">
        <f>IF(COUNT(E10:P10)=12,SUM(E10:P10),"")</f>
        <v/>
      </c>
    </row>
    <row r="11" ht="21" customHeight="1">
      <c r="A11" s="6" t="inlineStr">
        <is>
          <t>Capital expenditure (outflow)</t>
        </is>
      </c>
      <c r="E11" s="17">
        <f>IF(ISNUMBER(Drivers!E22),Drivers!E22,"")</f>
        <v/>
      </c>
      <c r="F11" s="17">
        <f>IF(ISNUMBER(Drivers!F22),Drivers!F22,"")</f>
        <v/>
      </c>
      <c r="G11" s="17">
        <f>IF(ISNUMBER(Drivers!G22),Drivers!G22,"")</f>
        <v/>
      </c>
      <c r="H11" s="17">
        <f>IF(ISNUMBER(Drivers!H22),Drivers!H22,"")</f>
        <v/>
      </c>
      <c r="I11" s="17">
        <f>IF(ISNUMBER(Drivers!I22),Drivers!I22,"")</f>
        <v/>
      </c>
      <c r="J11" s="17">
        <f>IF(ISNUMBER(Drivers!J22),Drivers!J22,"")</f>
        <v/>
      </c>
      <c r="K11" s="17">
        <f>IF(ISNUMBER(Drivers!K22),Drivers!K22,"")</f>
        <v/>
      </c>
      <c r="L11" s="17">
        <f>IF(ISNUMBER(Drivers!L22),Drivers!L22,"")</f>
        <v/>
      </c>
      <c r="M11" s="17">
        <f>IF(ISNUMBER(Drivers!M22),Drivers!M22,"")</f>
        <v/>
      </c>
      <c r="N11" s="17">
        <f>IF(ISNUMBER(Drivers!N22),Drivers!N22,"")</f>
        <v/>
      </c>
      <c r="O11" s="17">
        <f>IF(ISNUMBER(Drivers!O22),Drivers!O22,"")</f>
        <v/>
      </c>
      <c r="P11" s="17">
        <f>IF(ISNUMBER(Drivers!P22),Drivers!P22,"")</f>
        <v/>
      </c>
      <c r="Q11" s="17">
        <f>IF(COUNT(E11:P11)=12,SUM(E11:P11),"")</f>
        <v/>
      </c>
    </row>
    <row r="12" ht="21" customHeight="1">
      <c r="A12" s="6" t="inlineStr">
        <is>
          <t>Pre-financing closing cash</t>
        </is>
      </c>
      <c r="E12" s="23">
        <f>E6+E10-E11</f>
        <v/>
      </c>
      <c r="F12" s="23">
        <f>F6+F10-F11</f>
        <v/>
      </c>
      <c r="G12" s="23">
        <f>G6+G10-G11</f>
        <v/>
      </c>
      <c r="H12" s="23">
        <f>H6+H10-H11</f>
        <v/>
      </c>
      <c r="I12" s="23">
        <f>I6+I10-I11</f>
        <v/>
      </c>
      <c r="J12" s="23">
        <f>J6+J10-J11</f>
        <v/>
      </c>
      <c r="K12" s="23">
        <f>K6+K10-K11</f>
        <v/>
      </c>
      <c r="L12" s="23">
        <f>L6+L10-L11</f>
        <v/>
      </c>
      <c r="M12" s="23">
        <f>M6+M10-M11</f>
        <v/>
      </c>
      <c r="N12" s="23">
        <f>N6+N10-N11</f>
        <v/>
      </c>
      <c r="O12" s="23">
        <f>O6+O10-O11</f>
        <v/>
      </c>
      <c r="P12" s="23">
        <f>P6+P10-P11</f>
        <v/>
      </c>
      <c r="Q12" s="17">
        <f>IF(COUNT(E12:P12)=12,SUM(E12:P12),"")</f>
        <v/>
      </c>
    </row>
    <row r="13" ht="21" customHeight="1">
      <c r="A13" s="6" t="inlineStr">
        <is>
          <t>Opening revolver balance</t>
        </is>
      </c>
      <c r="E13" s="17">
        <f>IF(ISNUMBER(Historical!D23),Historical!D23,"")</f>
        <v/>
      </c>
      <c r="F13" s="17">
        <f>IF(ISNUMBER(E18),E18,"")</f>
        <v/>
      </c>
      <c r="G13" s="17">
        <f>IF(ISNUMBER(F18),F18,"")</f>
        <v/>
      </c>
      <c r="H13" s="17">
        <f>IF(ISNUMBER(G18),G18,"")</f>
        <v/>
      </c>
      <c r="I13" s="17">
        <f>IF(ISNUMBER(H18),H18,"")</f>
        <v/>
      </c>
      <c r="J13" s="17">
        <f>IF(ISNUMBER(I18),I18,"")</f>
        <v/>
      </c>
      <c r="K13" s="17">
        <f>IF(ISNUMBER(J18),J18,"")</f>
        <v/>
      </c>
      <c r="L13" s="17">
        <f>IF(ISNUMBER(K18),K18,"")</f>
        <v/>
      </c>
      <c r="M13" s="17">
        <f>IF(ISNUMBER(L18),L18,"")</f>
        <v/>
      </c>
      <c r="N13" s="17">
        <f>IF(ISNUMBER(M18),M18,"")</f>
        <v/>
      </c>
      <c r="O13" s="17">
        <f>IF(ISNUMBER(N18),N18,"")</f>
        <v/>
      </c>
      <c r="P13" s="17">
        <f>IF(ISNUMBER(O18),O18,"")</f>
        <v/>
      </c>
      <c r="Q13" s="17">
        <f>IF(ISNUMBER(E13),E13,"")</f>
        <v/>
      </c>
    </row>
    <row r="14" ht="21" customHeight="1">
      <c r="A14" s="6" t="inlineStr">
        <is>
          <t>Revolver draw</t>
        </is>
      </c>
      <c r="E14" s="23">
        <f>MAX(Drivers!E23-E12,0)</f>
        <v/>
      </c>
      <c r="F14" s="23">
        <f>MAX(Drivers!F23-F12,0)</f>
        <v/>
      </c>
      <c r="G14" s="23">
        <f>MAX(Drivers!G23-G12,0)</f>
        <v/>
      </c>
      <c r="H14" s="23">
        <f>MAX(Drivers!H23-H12,0)</f>
        <v/>
      </c>
      <c r="I14" s="23">
        <f>MAX(Drivers!I23-I12,0)</f>
        <v/>
      </c>
      <c r="J14" s="23">
        <f>MAX(Drivers!J23-J12,0)</f>
        <v/>
      </c>
      <c r="K14" s="23">
        <f>MAX(Drivers!K23-K12,0)</f>
        <v/>
      </c>
      <c r="L14" s="23">
        <f>MAX(Drivers!L23-L12,0)</f>
        <v/>
      </c>
      <c r="M14" s="23">
        <f>MAX(Drivers!M23-M12,0)</f>
        <v/>
      </c>
      <c r="N14" s="23">
        <f>MAX(Drivers!N23-N12,0)</f>
        <v/>
      </c>
      <c r="O14" s="23">
        <f>MAX(Drivers!O23-O12,0)</f>
        <v/>
      </c>
      <c r="P14" s="23">
        <f>MAX(Drivers!P23-P12,0)</f>
        <v/>
      </c>
      <c r="Q14" s="17">
        <f>IF(COUNT(E14:P14)=12,SUM(E14:P14),"")</f>
        <v/>
      </c>
    </row>
    <row r="15" ht="21" customHeight="1">
      <c r="A15" s="6" t="inlineStr">
        <is>
          <t>Revolver repayment</t>
        </is>
      </c>
      <c r="E15" s="23">
        <f>MIN(E13,MAX(E12-Drivers!E23,0))</f>
        <v/>
      </c>
      <c r="F15" s="23">
        <f>MIN(F13,MAX(F12-Drivers!F23,0))</f>
        <v/>
      </c>
      <c r="G15" s="23">
        <f>MIN(G13,MAX(G12-Drivers!G23,0))</f>
        <v/>
      </c>
      <c r="H15" s="23">
        <f>MIN(H13,MAX(H12-Drivers!H23,0))</f>
        <v/>
      </c>
      <c r="I15" s="23">
        <f>MIN(I13,MAX(I12-Drivers!I23,0))</f>
        <v/>
      </c>
      <c r="J15" s="23">
        <f>MIN(J13,MAX(J12-Drivers!J23,0))</f>
        <v/>
      </c>
      <c r="K15" s="23">
        <f>MIN(K13,MAX(K12-Drivers!K23,0))</f>
        <v/>
      </c>
      <c r="L15" s="23">
        <f>MIN(L13,MAX(L12-Drivers!L23,0))</f>
        <v/>
      </c>
      <c r="M15" s="23">
        <f>MIN(M13,MAX(M12-Drivers!M23,0))</f>
        <v/>
      </c>
      <c r="N15" s="23">
        <f>MIN(N13,MAX(N12-Drivers!N23,0))</f>
        <v/>
      </c>
      <c r="O15" s="23">
        <f>MIN(O13,MAX(O12-Drivers!O23,0))</f>
        <v/>
      </c>
      <c r="P15" s="23">
        <f>MIN(P13,MAX(P12-Drivers!P23,0))</f>
        <v/>
      </c>
      <c r="Q15" s="17">
        <f>IF(COUNT(E15:P15)=12,SUM(E15:P15),"")</f>
        <v/>
      </c>
    </row>
    <row r="16" ht="21" customHeight="1">
      <c r="A16" s="6" t="inlineStr">
        <is>
          <t>Net financing cash flow</t>
        </is>
      </c>
      <c r="E16" s="23">
        <f>E14-E15</f>
        <v/>
      </c>
      <c r="F16" s="23">
        <f>F14-F15</f>
        <v/>
      </c>
      <c r="G16" s="23">
        <f>G14-G15</f>
        <v/>
      </c>
      <c r="H16" s="23">
        <f>H14-H15</f>
        <v/>
      </c>
      <c r="I16" s="23">
        <f>I14-I15</f>
        <v/>
      </c>
      <c r="J16" s="23">
        <f>J14-J15</f>
        <v/>
      </c>
      <c r="K16" s="23">
        <f>K14-K15</f>
        <v/>
      </c>
      <c r="L16" s="23">
        <f>L14-L15</f>
        <v/>
      </c>
      <c r="M16" s="23">
        <f>M14-M15</f>
        <v/>
      </c>
      <c r="N16" s="23">
        <f>N14-N15</f>
        <v/>
      </c>
      <c r="O16" s="23">
        <f>O14-O15</f>
        <v/>
      </c>
      <c r="P16" s="23">
        <f>P14-P15</f>
        <v/>
      </c>
      <c r="Q16" s="17">
        <f>IF(COUNT(E16:P16)=12,SUM(E16:P16),"")</f>
        <v/>
      </c>
    </row>
    <row r="17" ht="21" customHeight="1">
      <c r="A17" s="6" t="inlineStr">
        <is>
          <t>Closing cash</t>
        </is>
      </c>
      <c r="E17" s="23">
        <f>E12+E16</f>
        <v/>
      </c>
      <c r="F17" s="23">
        <f>F12+F16</f>
        <v/>
      </c>
      <c r="G17" s="23">
        <f>G12+G16</f>
        <v/>
      </c>
      <c r="H17" s="23">
        <f>H12+H16</f>
        <v/>
      </c>
      <c r="I17" s="23">
        <f>I12+I16</f>
        <v/>
      </c>
      <c r="J17" s="23">
        <f>J12+J16</f>
        <v/>
      </c>
      <c r="K17" s="23">
        <f>K12+K16</f>
        <v/>
      </c>
      <c r="L17" s="23">
        <f>L12+L16</f>
        <v/>
      </c>
      <c r="M17" s="23">
        <f>M12+M16</f>
        <v/>
      </c>
      <c r="N17" s="23">
        <f>N12+N16</f>
        <v/>
      </c>
      <c r="O17" s="23">
        <f>O12+O16</f>
        <v/>
      </c>
      <c r="P17" s="23">
        <f>P12+P16</f>
        <v/>
      </c>
      <c r="Q17" s="17">
        <f>IF(COUNT(E17:P17)=12,P17,"")</f>
        <v/>
      </c>
    </row>
    <row r="18" ht="21" customHeight="1">
      <c r="A18" s="6" t="inlineStr">
        <is>
          <t>Closing revolver balance</t>
        </is>
      </c>
      <c r="E18" s="23">
        <f>E13+E16</f>
        <v/>
      </c>
      <c r="F18" s="23">
        <f>F13+F16</f>
        <v/>
      </c>
      <c r="G18" s="23">
        <f>G13+G16</f>
        <v/>
      </c>
      <c r="H18" s="23">
        <f>H13+H16</f>
        <v/>
      </c>
      <c r="I18" s="23">
        <f>I13+I16</f>
        <v/>
      </c>
      <c r="J18" s="23">
        <f>J13+J16</f>
        <v/>
      </c>
      <c r="K18" s="23">
        <f>K13+K16</f>
        <v/>
      </c>
      <c r="L18" s="23">
        <f>L13+L16</f>
        <v/>
      </c>
      <c r="M18" s="23">
        <f>M13+M16</f>
        <v/>
      </c>
      <c r="N18" s="23">
        <f>N13+N16</f>
        <v/>
      </c>
      <c r="O18" s="23">
        <f>O13+O16</f>
        <v/>
      </c>
      <c r="P18" s="23">
        <f>P13+P16</f>
        <v/>
      </c>
      <c r="Q18" s="17">
        <f>IF(COUNT(E18:P18)=12,P18,"")</f>
        <v/>
      </c>
    </row>
    <row r="21" ht="42" customHeight="1">
      <c r="S21" s="11" t="inlineStr">
        <is>
          <t>CFO = net income + depreciation + working-capital cash impact. Capex and repayments are POSITIVE outflows. Pre-financing closing cash = opening cash + CFO - capex.</t>
        </is>
      </c>
    </row>
    <row r="24" ht="42" customHeight="1">
      <c r="S24" s="11" t="inlineStr">
        <is>
          <t>Draw = MAX(minimum cash - pre-financing cash, 0). Repay = MIN(opening debt, MAX(pre-financing cash - minimum cash, 0)). Revolver is uncapped; never draw and repay together.</t>
        </is>
      </c>
    </row>
    <row r="27" ht="42" customHeight="1">
      <c r="S27" s="11" t="inlineStr">
        <is>
          <t>Net financing = draw - repayment. Closing cash = pre-financing cash + net financing. Closing debt = opening debt + net financing. No dividends, equity or other investing flows.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4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CHECKS</t>
        </is>
      </c>
    </row>
    <row r="2" ht="17" customHeight="1"/>
    <row r="3" ht="23" customHeight="1">
      <c r="A3" s="2" t="inlineStr">
        <is>
          <t>C | Fill numeric residuals. Zero means pass; evaluate only after completing the applicable forecast.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Revenue-to-P&amp;L residual</t>
        </is>
      </c>
      <c r="E6" s="23">
        <f>'P&amp;L'!E6-Revenue!E6</f>
        <v/>
      </c>
      <c r="F6" s="23">
        <f>'P&amp;L'!F6-Revenue!F6</f>
        <v/>
      </c>
      <c r="G6" s="23">
        <f>'P&amp;L'!G6-Revenue!G6</f>
        <v/>
      </c>
      <c r="H6" s="23">
        <f>'P&amp;L'!H6-Revenue!H6</f>
        <v/>
      </c>
      <c r="I6" s="23">
        <f>'P&amp;L'!I6-Revenue!I6</f>
        <v/>
      </c>
      <c r="J6" s="23">
        <f>'P&amp;L'!J6-Revenue!J6</f>
        <v/>
      </c>
      <c r="K6" s="23">
        <f>'P&amp;L'!K6-Revenue!K6</f>
        <v/>
      </c>
      <c r="L6" s="23">
        <f>'P&amp;L'!L6-Revenue!L6</f>
        <v/>
      </c>
      <c r="M6" s="23">
        <f>'P&amp;L'!M6-Revenue!M6</f>
        <v/>
      </c>
      <c r="N6" s="23">
        <f>'P&amp;L'!N6-Revenue!N6</f>
        <v/>
      </c>
      <c r="O6" s="23">
        <f>'P&amp;L'!O6-Revenue!O6</f>
        <v/>
      </c>
      <c r="P6" s="23">
        <f>'P&amp;L'!P6-Revenue!P6</f>
        <v/>
      </c>
      <c r="Q6" s="17">
        <f>IF(COUNT(E6:P6)=12,MAX(ABS(MIN(E6:P6)),ABS(MAX(E6:P6))),"")</f>
        <v/>
      </c>
    </row>
    <row r="7" ht="21" customHeight="1">
      <c r="A7" s="6" t="inlineStr">
        <is>
          <t>Receivables days residual</t>
        </is>
      </c>
      <c r="E7" s="23">
        <f>'Working Capital'!E6/Revenue!E6*Drivers!E25-Drivers!E16</f>
        <v/>
      </c>
      <c r="F7" s="23">
        <f>'Working Capital'!F6/Revenue!F6*Drivers!F25-Drivers!F16</f>
        <v/>
      </c>
      <c r="G7" s="23">
        <f>'Working Capital'!G6/Revenue!G6*Drivers!G25-Drivers!G16</f>
        <v/>
      </c>
      <c r="H7" s="23">
        <f>'Working Capital'!H6/Revenue!H6*Drivers!H25-Drivers!H16</f>
        <v/>
      </c>
      <c r="I7" s="23">
        <f>'Working Capital'!I6/Revenue!I6*Drivers!I25-Drivers!I16</f>
        <v/>
      </c>
      <c r="J7" s="23">
        <f>'Working Capital'!J6/Revenue!J6*Drivers!J25-Drivers!J16</f>
        <v/>
      </c>
      <c r="K7" s="23">
        <f>'Working Capital'!K6/Revenue!K6*Drivers!K25-Drivers!K16</f>
        <v/>
      </c>
      <c r="L7" s="23">
        <f>'Working Capital'!L6/Revenue!L6*Drivers!L25-Drivers!L16</f>
        <v/>
      </c>
      <c r="M7" s="23">
        <f>'Working Capital'!M6/Revenue!M6*Drivers!M25-Drivers!M16</f>
        <v/>
      </c>
      <c r="N7" s="23">
        <f>'Working Capital'!N6/Revenue!N6*Drivers!N25-Drivers!N16</f>
        <v/>
      </c>
      <c r="O7" s="23">
        <f>'Working Capital'!O6/Revenue!O6*Drivers!O25-Drivers!O16</f>
        <v/>
      </c>
      <c r="P7" s="23">
        <f>'Working Capital'!P6/Revenue!P6*Drivers!P25-Drivers!P16</f>
        <v/>
      </c>
      <c r="Q7" s="17">
        <f>IF(COUNT(E7:P7)=12,MAX(ABS(MIN(E7:P7)),ABS(MAX(E7:P7))),"")</f>
        <v/>
      </c>
    </row>
    <row r="8" ht="21" customHeight="1">
      <c r="A8" s="6" t="inlineStr">
        <is>
          <t>Payables days residual</t>
        </is>
      </c>
      <c r="E8" s="23">
        <f>'Working Capital'!E7/'P&amp;L'!E7*Drivers!E25-Drivers!E17</f>
        <v/>
      </c>
      <c r="F8" s="23">
        <f>'Working Capital'!F7/'P&amp;L'!F7*Drivers!F25-Drivers!F17</f>
        <v/>
      </c>
      <c r="G8" s="23">
        <f>'Working Capital'!G7/'P&amp;L'!G7*Drivers!G25-Drivers!G17</f>
        <v/>
      </c>
      <c r="H8" s="23">
        <f>'Working Capital'!H7/'P&amp;L'!H7*Drivers!H25-Drivers!H17</f>
        <v/>
      </c>
      <c r="I8" s="23">
        <f>'Working Capital'!I7/'P&amp;L'!I7*Drivers!I25-Drivers!I17</f>
        <v/>
      </c>
      <c r="J8" s="23">
        <f>'Working Capital'!J7/'P&amp;L'!J7*Drivers!J25-Drivers!J17</f>
        <v/>
      </c>
      <c r="K8" s="23">
        <f>'Working Capital'!K7/'P&amp;L'!K7*Drivers!K25-Drivers!K17</f>
        <v/>
      </c>
      <c r="L8" s="23">
        <f>'Working Capital'!L7/'P&amp;L'!L7*Drivers!L25-Drivers!L17</f>
        <v/>
      </c>
      <c r="M8" s="23">
        <f>'Working Capital'!M7/'P&amp;L'!M7*Drivers!M25-Drivers!M17</f>
        <v/>
      </c>
      <c r="N8" s="23">
        <f>'Working Capital'!N7/'P&amp;L'!N7*Drivers!N25-Drivers!N17</f>
        <v/>
      </c>
      <c r="O8" s="23">
        <f>'Working Capital'!O7/'P&amp;L'!O7*Drivers!O25-Drivers!O17</f>
        <v/>
      </c>
      <c r="P8" s="23">
        <f>'Working Capital'!P7/'P&amp;L'!P7*Drivers!P25-Drivers!P17</f>
        <v/>
      </c>
      <c r="Q8" s="17">
        <f>IF(COUNT(E8:P8)=12,MAX(ABS(MIN(E8:P8)),ABS(MAX(E8:P8))),"")</f>
        <v/>
      </c>
    </row>
    <row r="9" ht="21" customHeight="1">
      <c r="A9" s="6" t="inlineStr">
        <is>
          <t>Net income residual</t>
        </is>
      </c>
      <c r="E9" s="23">
        <f>'P&amp;L'!E17-('P&amp;L'!E14-'P&amp;L'!E15-'P&amp;L'!E16)</f>
        <v/>
      </c>
      <c r="F9" s="23">
        <f>'P&amp;L'!F17-('P&amp;L'!F14-'P&amp;L'!F15-'P&amp;L'!F16)</f>
        <v/>
      </c>
      <c r="G9" s="23">
        <f>'P&amp;L'!G17-('P&amp;L'!G14-'P&amp;L'!G15-'P&amp;L'!G16)</f>
        <v/>
      </c>
      <c r="H9" s="23">
        <f>'P&amp;L'!H17-('P&amp;L'!H14-'P&amp;L'!H15-'P&amp;L'!H16)</f>
        <v/>
      </c>
      <c r="I9" s="23">
        <f>'P&amp;L'!I17-('P&amp;L'!I14-'P&amp;L'!I15-'P&amp;L'!I16)</f>
        <v/>
      </c>
      <c r="J9" s="23">
        <f>'P&amp;L'!J17-('P&amp;L'!J14-'P&amp;L'!J15-'P&amp;L'!J16)</f>
        <v/>
      </c>
      <c r="K9" s="23">
        <f>'P&amp;L'!K17-('P&amp;L'!K14-'P&amp;L'!K15-'P&amp;L'!K16)</f>
        <v/>
      </c>
      <c r="L9" s="23">
        <f>'P&amp;L'!L17-('P&amp;L'!L14-'P&amp;L'!L15-'P&amp;L'!L16)</f>
        <v/>
      </c>
      <c r="M9" s="23">
        <f>'P&amp;L'!M17-('P&amp;L'!M14-'P&amp;L'!M15-'P&amp;L'!M16)</f>
        <v/>
      </c>
      <c r="N9" s="23">
        <f>'P&amp;L'!N17-('P&amp;L'!N14-'P&amp;L'!N15-'P&amp;L'!N16)</f>
        <v/>
      </c>
      <c r="O9" s="23">
        <f>'P&amp;L'!O17-('P&amp;L'!O14-'P&amp;L'!O15-'P&amp;L'!O16)</f>
        <v/>
      </c>
      <c r="P9" s="23">
        <f>'P&amp;L'!P17-('P&amp;L'!P14-'P&amp;L'!P15-'P&amp;L'!P16)</f>
        <v/>
      </c>
      <c r="Q9" s="17">
        <f>IF(COUNT(E9:P9)=12,MAX(ABS(MIN(E9:P9)),ABS(MAX(E9:P9))),"")</f>
        <v/>
      </c>
    </row>
    <row r="10" ht="21" customHeight="1">
      <c r="A10" s="6" t="inlineStr">
        <is>
          <t>Cash roll-forward residual</t>
        </is>
      </c>
      <c r="E10" s="23">
        <f>'Cash Flow'!E17-('Cash Flow'!E6+'Cash Flow'!E10-'Cash Flow'!E11+'Cash Flow'!E14-'Cash Flow'!E15)</f>
        <v/>
      </c>
      <c r="F10" s="23">
        <f>'Cash Flow'!F17-('Cash Flow'!F6+'Cash Flow'!F10-'Cash Flow'!F11+'Cash Flow'!F14-'Cash Flow'!F15)</f>
        <v/>
      </c>
      <c r="G10" s="23">
        <f>'Cash Flow'!G17-('Cash Flow'!G6+'Cash Flow'!G10-'Cash Flow'!G11+'Cash Flow'!G14-'Cash Flow'!G15)</f>
        <v/>
      </c>
      <c r="H10" s="23">
        <f>'Cash Flow'!H17-('Cash Flow'!H6+'Cash Flow'!H10-'Cash Flow'!H11+'Cash Flow'!H14-'Cash Flow'!H15)</f>
        <v/>
      </c>
      <c r="I10" s="23">
        <f>'Cash Flow'!I17-('Cash Flow'!I6+'Cash Flow'!I10-'Cash Flow'!I11+'Cash Flow'!I14-'Cash Flow'!I15)</f>
        <v/>
      </c>
      <c r="J10" s="23">
        <f>'Cash Flow'!J17-('Cash Flow'!J6+'Cash Flow'!J10-'Cash Flow'!J11+'Cash Flow'!J14-'Cash Flow'!J15)</f>
        <v/>
      </c>
      <c r="K10" s="23">
        <f>'Cash Flow'!K17-('Cash Flow'!K6+'Cash Flow'!K10-'Cash Flow'!K11+'Cash Flow'!K14-'Cash Flow'!K15)</f>
        <v/>
      </c>
      <c r="L10" s="23">
        <f>'Cash Flow'!L17-('Cash Flow'!L6+'Cash Flow'!L10-'Cash Flow'!L11+'Cash Flow'!L14-'Cash Flow'!L15)</f>
        <v/>
      </c>
      <c r="M10" s="23">
        <f>'Cash Flow'!M17-('Cash Flow'!M6+'Cash Flow'!M10-'Cash Flow'!M11+'Cash Flow'!M14-'Cash Flow'!M15)</f>
        <v/>
      </c>
      <c r="N10" s="23">
        <f>'Cash Flow'!N17-('Cash Flow'!N6+'Cash Flow'!N10-'Cash Flow'!N11+'Cash Flow'!N14-'Cash Flow'!N15)</f>
        <v/>
      </c>
      <c r="O10" s="23">
        <f>'Cash Flow'!O17-('Cash Flow'!O6+'Cash Flow'!O10-'Cash Flow'!O11+'Cash Flow'!O14-'Cash Flow'!O15)</f>
        <v/>
      </c>
      <c r="P10" s="23">
        <f>'Cash Flow'!P17-('Cash Flow'!P6+'Cash Flow'!P10-'Cash Flow'!P11+'Cash Flow'!P14-'Cash Flow'!P15)</f>
        <v/>
      </c>
      <c r="Q10" s="17">
        <f>IF(COUNT(E10:P10)=12,MAX(ABS(MIN(E10:P10)),ABS(MAX(E10:P10))),"")</f>
        <v/>
      </c>
    </row>
    <row r="11" ht="21" customHeight="1">
      <c r="A11" s="6" t="inlineStr">
        <is>
          <t>Debt roll-forward residual</t>
        </is>
      </c>
      <c r="E11" s="23">
        <f>'Cash Flow'!E18-('Cash Flow'!E13+'Cash Flow'!E14-'Cash Flow'!E15)</f>
        <v/>
      </c>
      <c r="F11" s="23">
        <f>'Cash Flow'!F18-('Cash Flow'!F13+'Cash Flow'!F14-'Cash Flow'!F15)</f>
        <v/>
      </c>
      <c r="G11" s="23">
        <f>'Cash Flow'!G18-('Cash Flow'!G13+'Cash Flow'!G14-'Cash Flow'!G15)</f>
        <v/>
      </c>
      <c r="H11" s="23">
        <f>'Cash Flow'!H18-('Cash Flow'!H13+'Cash Flow'!H14-'Cash Flow'!H15)</f>
        <v/>
      </c>
      <c r="I11" s="23">
        <f>'Cash Flow'!I18-('Cash Flow'!I13+'Cash Flow'!I14-'Cash Flow'!I15)</f>
        <v/>
      </c>
      <c r="J11" s="23">
        <f>'Cash Flow'!J18-('Cash Flow'!J13+'Cash Flow'!J14-'Cash Flow'!J15)</f>
        <v/>
      </c>
      <c r="K11" s="23">
        <f>'Cash Flow'!K18-('Cash Flow'!K13+'Cash Flow'!K14-'Cash Flow'!K15)</f>
        <v/>
      </c>
      <c r="L11" s="23">
        <f>'Cash Flow'!L18-('Cash Flow'!L13+'Cash Flow'!L14-'Cash Flow'!L15)</f>
        <v/>
      </c>
      <c r="M11" s="23">
        <f>'Cash Flow'!M18-('Cash Flow'!M13+'Cash Flow'!M14-'Cash Flow'!M15)</f>
        <v/>
      </c>
      <c r="N11" s="23">
        <f>'Cash Flow'!N18-('Cash Flow'!N13+'Cash Flow'!N14-'Cash Flow'!N15)</f>
        <v/>
      </c>
      <c r="O11" s="23">
        <f>'Cash Flow'!O18-('Cash Flow'!O13+'Cash Flow'!O14-'Cash Flow'!O15)</f>
        <v/>
      </c>
      <c r="P11" s="23">
        <f>'Cash Flow'!P18-('Cash Flow'!P13+'Cash Flow'!P14-'Cash Flow'!P15)</f>
        <v/>
      </c>
      <c r="Q11" s="17">
        <f>IF(COUNT(E11:P11)=12,MAX(ABS(MIN(E11:P11)),ABS(MAX(E11:P11))),"")</f>
        <v/>
      </c>
    </row>
    <row r="12" ht="21" customHeight="1">
      <c r="A12" s="6" t="inlineStr">
        <is>
          <t>Cash minimum shortfall</t>
        </is>
      </c>
      <c r="E12" s="23">
        <f>MAX(Drivers!E23-'Cash Flow'!E17,0)</f>
        <v/>
      </c>
      <c r="F12" s="23">
        <f>MAX(Drivers!F23-'Cash Flow'!F17,0)</f>
        <v/>
      </c>
      <c r="G12" s="23">
        <f>MAX(Drivers!G23-'Cash Flow'!G17,0)</f>
        <v/>
      </c>
      <c r="H12" s="23">
        <f>MAX(Drivers!H23-'Cash Flow'!H17,0)</f>
        <v/>
      </c>
      <c r="I12" s="23">
        <f>MAX(Drivers!I23-'Cash Flow'!I17,0)</f>
        <v/>
      </c>
      <c r="J12" s="23">
        <f>MAX(Drivers!J23-'Cash Flow'!J17,0)</f>
        <v/>
      </c>
      <c r="K12" s="23">
        <f>MAX(Drivers!K23-'Cash Flow'!K17,0)</f>
        <v/>
      </c>
      <c r="L12" s="23">
        <f>MAX(Drivers!L23-'Cash Flow'!L17,0)</f>
        <v/>
      </c>
      <c r="M12" s="23">
        <f>MAX(Drivers!M23-'Cash Flow'!M17,0)</f>
        <v/>
      </c>
      <c r="N12" s="23">
        <f>MAX(Drivers!N23-'Cash Flow'!N17,0)</f>
        <v/>
      </c>
      <c r="O12" s="23">
        <f>MAX(Drivers!O23-'Cash Flow'!O17,0)</f>
        <v/>
      </c>
      <c r="P12" s="23">
        <f>MAX(Drivers!P23-'Cash Flow'!P17,0)</f>
        <v/>
      </c>
      <c r="Q12" s="17">
        <f>IF(COUNT(E12:P12)=12,MAX(ABS(MIN(E12:P12)),ABS(MAX(E12:P12))),"")</f>
        <v/>
      </c>
    </row>
    <row r="13" ht="21" customHeight="1">
      <c r="A13" s="6" t="inlineStr">
        <is>
          <t>Simultaneous draw / repay</t>
        </is>
      </c>
      <c r="E13" s="23">
        <f>MIN('Cash Flow'!E14,'Cash Flow'!E15)</f>
        <v/>
      </c>
      <c r="F13" s="23">
        <f>MIN('Cash Flow'!F14,'Cash Flow'!F15)</f>
        <v/>
      </c>
      <c r="G13" s="23">
        <f>MIN('Cash Flow'!G14,'Cash Flow'!G15)</f>
        <v/>
      </c>
      <c r="H13" s="23">
        <f>MIN('Cash Flow'!H14,'Cash Flow'!H15)</f>
        <v/>
      </c>
      <c r="I13" s="23">
        <f>MIN('Cash Flow'!I14,'Cash Flow'!I15)</f>
        <v/>
      </c>
      <c r="J13" s="23">
        <f>MIN('Cash Flow'!J14,'Cash Flow'!J15)</f>
        <v/>
      </c>
      <c r="K13" s="23">
        <f>MIN('Cash Flow'!K14,'Cash Flow'!K15)</f>
        <v/>
      </c>
      <c r="L13" s="23">
        <f>MIN('Cash Flow'!L14,'Cash Flow'!L15)</f>
        <v/>
      </c>
      <c r="M13" s="23">
        <f>MIN('Cash Flow'!M14,'Cash Flow'!M15)</f>
        <v/>
      </c>
      <c r="N13" s="23">
        <f>MIN('Cash Flow'!N14,'Cash Flow'!N15)</f>
        <v/>
      </c>
      <c r="O13" s="23">
        <f>MIN('Cash Flow'!O14,'Cash Flow'!O15)</f>
        <v/>
      </c>
      <c r="P13" s="23">
        <f>MIN('Cash Flow'!P14,'Cash Flow'!P15)</f>
        <v/>
      </c>
      <c r="Q13" s="17">
        <f>IF(COUNT(E13:P13)=12,MAX(ABS(MIN(E13:P13)),ABS(MAX(E13:P13))),"")</f>
        <v/>
      </c>
    </row>
    <row r="14" ht="21" customHeight="1">
      <c r="A14" s="6" t="inlineStr">
        <is>
          <t>Cohort revenue tie-out</t>
        </is>
      </c>
      <c r="E14" s="23">
        <f>Revenue!E6-Cohorts!E38</f>
        <v/>
      </c>
      <c r="F14" s="23">
        <f>Revenue!F6-Cohorts!F38</f>
        <v/>
      </c>
      <c r="G14" s="23">
        <f>Revenue!G6-Cohorts!G38</f>
        <v/>
      </c>
      <c r="H14" s="23">
        <f>Revenue!H6-Cohorts!H38</f>
        <v/>
      </c>
      <c r="I14" s="23">
        <f>Revenue!I6-Cohorts!I38</f>
        <v/>
      </c>
      <c r="J14" s="23">
        <f>Revenue!J6-Cohorts!J38</f>
        <v/>
      </c>
      <c r="K14" s="23">
        <f>Revenue!K6-Cohorts!K38</f>
        <v/>
      </c>
      <c r="L14" s="23">
        <f>Revenue!L6-Cohorts!L38</f>
        <v/>
      </c>
      <c r="M14" s="23">
        <f>Revenue!M6-Cohorts!M38</f>
        <v/>
      </c>
      <c r="N14" s="23">
        <f>Revenue!N6-Cohorts!N38</f>
        <v/>
      </c>
      <c r="O14" s="23">
        <f>Revenue!O6-Cohorts!O38</f>
        <v/>
      </c>
      <c r="P14" s="23">
        <f>Revenue!P6-Cohorts!P38</f>
        <v/>
      </c>
      <c r="Q14" s="17">
        <f>IF(COUNT(E14:P14)=12,MAX(ABS(MIN(E14:P14)),ABS(MAX(E14:P14))),"")</f>
        <v/>
      </c>
    </row>
    <row r="15" ht="21" customHeight="1">
      <c r="A15" s="6" t="inlineStr">
        <is>
          <t>Cohort customer tie-out</t>
        </is>
      </c>
      <c r="E15" s="23">
        <f>Revenue!E9-Cohorts!E21</f>
        <v/>
      </c>
      <c r="F15" s="23">
        <f>Revenue!F9-Cohorts!F21</f>
        <v/>
      </c>
      <c r="G15" s="23">
        <f>Revenue!G9-Cohorts!G21</f>
        <v/>
      </c>
      <c r="H15" s="23">
        <f>Revenue!H9-Cohorts!H21</f>
        <v/>
      </c>
      <c r="I15" s="23">
        <f>Revenue!I9-Cohorts!I21</f>
        <v/>
      </c>
      <c r="J15" s="23">
        <f>Revenue!J9-Cohorts!J21</f>
        <v/>
      </c>
      <c r="K15" s="23">
        <f>Revenue!K9-Cohorts!K21</f>
        <v/>
      </c>
      <c r="L15" s="23">
        <f>Revenue!L9-Cohorts!L21</f>
        <v/>
      </c>
      <c r="M15" s="23">
        <f>Revenue!M9-Cohorts!M21</f>
        <v/>
      </c>
      <c r="N15" s="23">
        <f>Revenue!N9-Cohorts!N21</f>
        <v/>
      </c>
      <c r="O15" s="23">
        <f>Revenue!O9-Cohorts!O21</f>
        <v/>
      </c>
      <c r="P15" s="23">
        <f>Revenue!P9-Cohorts!P21</f>
        <v/>
      </c>
      <c r="Q15" s="17">
        <f>IF(COUNT(E15:P15)=12,MAX(ABS(MIN(E15:P15)),ABS(MAX(E15:P15))),"")</f>
        <v/>
      </c>
    </row>
    <row r="18" ht="42" customHeight="1">
      <c r="S18" s="11" t="inlineStr">
        <is>
          <t>Use formula-driven residuals, never hardcoded zeros (except cohort tie-outs before the follow-up). Tolerance: absolute residual &lt;= $0.005 or 0.005 customers.</t>
        </is>
      </c>
    </row>
    <row r="21" ht="42" customHeight="1">
      <c r="S21" s="11" t="inlineStr">
        <is>
          <t>The explicit task instructions define each residual. FY26 / Exit shows the maximum absolute monthly residual, not the sum.</t>
        </is>
      </c>
    </row>
    <row r="24" ht="42" customHeight="1">
      <c r="S24" s="11" t="inlineStr">
        <is>
          <t>After the change, rows 14-15 must tie the revenue schedule to the cohort schedule. Existing conditional formatting must remain intact.</t>
        </is>
      </c>
    </row>
  </sheetData>
  <mergeCells count="2">
    <mergeCell ref="A3:Q3"/>
    <mergeCell ref="A1:Q2"/>
  </mergeCells>
  <conditionalFormatting sqref="E6:Q15">
    <cfRule type="expression" priority="1" dxfId="0">
      <formula>AND(ISNUMBER(E6),ABS(E6)&lt;=0.005)</formula>
    </cfRule>
    <cfRule type="expression" priority="2" dxfId="1">
      <formula>AND(ISNUMBER(E6),ABS(E6)&gt;0.005)</formula>
    </cfRule>
  </conditionalFormatting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Finance Operations</dc:creator>
  <dc:title>Northstar Cloud | FY2026 Forecast</dc:title>
  <dc:description>Synthetic financial data. Deliberately unfinished forecast template.</dc:description>
  <dc:subject>Forecast drivers and schedules with a mid-task methodology change</dc:subject>
  <dcterms:created xsi:type="dcterms:W3CDTF">2026-10-23T14:00:59Z</dcterms:created>
  <dcterms:modified xsi:type="dcterms:W3CDTF">2026-10-23T16:37:11Z</dcterms:modified>
  <cp:lastModifiedBy>Finance Operations</cp:lastModifiedBy>
</cp:coreProperties>
</file>