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tes" sheetId="1" state="visible" r:id="rId2"/>
    <sheet name="Costs" sheetId="2" state="visible" r:id="rId3"/>
    <sheet name="Summary" sheetId="3" state="visible" r:id="rId4"/>
    <sheet name="Legacy" sheetId="4" state="hidden" r:id="rId5"/>
  </sheets>
  <definedNames>
    <definedName function="false" hidden="true" localSheetId="1" name="_xlnm._FilterDatabase" vbProcedure="false">Costs!$A$1:$C$1000</definedName>
  </definedNames>
  <calcPr calcMode="auto"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<sst xmlns="http://schemas.openxmlformats.org/spreadsheetml/2006/main" count="30" uniqueCount="19">
  <si>
    <t xml:space="preserve">Department ID</t>
  </si>
  <si>
    <t xml:space="preserve">Department</t>
  </si>
  <si>
    <t xml:space="preserve">Weight</t>
  </si>
  <si>
    <t xml:space="preserve">010</t>
  </si>
  <si>
    <t xml:space="preserve">Engineering</t>
  </si>
  <si>
    <t xml:space="preserve">002</t>
  </si>
  <si>
    <t xml:space="preserve">Field Operations</t>
  </si>
  <si>
    <t xml:space="preserve">02</t>
  </si>
  <si>
    <t xml:space="preserve">Customer Support</t>
  </si>
  <si>
    <t xml:space="preserve">Transaction ID</t>
  </si>
  <si>
    <t xml:space="preserve">Posted</t>
  </si>
  <si>
    <t xml:space="preserve">Amount</t>
  </si>
  <si>
    <t xml:space="preserve">BILL-001</t>
  </si>
  <si>
    <t xml:space="preserve">BILL-002</t>
  </si>
  <si>
    <t xml:space="preserve">BILL-003</t>
  </si>
  <si>
    <t xml:space="preserve">BILL-004</t>
  </si>
  <si>
    <t xml:space="preserve">BILL-005</t>
  </si>
  <si>
    <t xml:space="preserve">Allocation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</si>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</sst>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34E70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34E7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34E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April shared-services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Allocation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Summary!$B$2:$B$4</c:f>
              <c:strCache>
                <c:ptCount val="3"/>
                <c:pt idx="0">
                  <c:v>Field Operations</c:v>
                </c:pt>
                <c:pt idx="1">
                  <c:v>Customer Support</c:v>
                </c:pt>
                <c:pt idx="2">
                  <c:v>Engineering</c:v>
                </c:pt>
              </c:strCache>
            </c:strRef>
          </c:cat>
          <c:val>
            <c:numRef>
              <c:f>Summary!$D$2:$D$4</c:f>
              <c:numCache>
                <c:formatCode>General</c:formatCode>
                <c:ptCount val="3"/>
                <c:pt idx="0">
                  <c:v>5500</c:v>
                </c:pt>
                <c:pt idx="1">
                  <c:v>2200</c:v>
                </c:pt>
                <c:pt idx="2">
                  <c:v>3300</c:v>
                </c:pt>
              </c:numCache>
            </c:numRef>
          </c:val>
        </c:ser>
        <c:gapWidth val="150"/>
        <c:overlap val="0"/>
        <c:axId val="87596967"/>
        <c:axId val="8020020"/>
      </c:barChart>
      <c:catAx>
        <c:axId val="87596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0020"/>
        <c:crosses val="autoZero"/>
        <c:auto val="1"/>
        <c:lblAlgn val="ctr"/>
        <c:lblOffset val="100"/>
        <c:noMultiLvlLbl val="0"/>
      </c:catAx>
      <c:valAx>
        <c:axId val="8020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969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88200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929340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3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5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</row>
    <row r="2" customFormat="false" ht="15" hidden="false" customHeight="false" outlineLevel="0" collapsed="false">
      <c r="A2" s="0" t="s">
        <v>12</v>
      </c>
      <c r="B2" s="2" t="n">
        <v>46117</v>
      </c>
      <c r="C2" s="3" t="n">
        <v>4000</v>
      </c>
    </row>
    <row r="3" customFormat="false" ht="15" hidden="false" customHeight="false" outlineLevel="0" collapsed="false">
      <c r="A3" s="0" t="s">
        <v>13</v>
      </c>
      <c r="B3" s="2" t="n">
        <v>46122</v>
      </c>
      <c r="C3" s="3" t="n">
        <v>2500</v>
      </c>
    </row>
    <row r="4" customFormat="false" ht="15" hidden="false" customHeight="false" outlineLevel="0" collapsed="false">
      <c r="A4" s="0" t="s">
        <v>14</v>
      </c>
      <c r="B4" s="2" t="n">
        <v>46127</v>
      </c>
      <c r="C4" s="3" t="n">
        <v>1500</v>
      </c>
    </row>
    <row r="5" customFormat="false" ht="15" hidden="false" customHeight="false" outlineLevel="0" collapsed="false">
      <c r="A5" s="0" t="s">
        <v>15</v>
      </c>
      <c r="B5" s="2" t="n">
        <v>46132</v>
      </c>
      <c r="C5" s="3" t="n">
        <v>2000</v>
      </c>
    </row>
    <row r="6" customFormat="false" ht="15" hidden="false" customHeight="false" outlineLevel="0" collapsed="false">
      <c r="A6" s="0" t="s">
        <v>16</v>
      </c>
      <c r="B6" s="2" t="n">
        <v>46137</v>
      </c>
      <c r="C6" s="3" t="n">
        <v>1000</v>
      </c>
    </row>
  </sheetData>
  <autoFilter ref="A1:C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17</v>
      </c>
    </row>
    <row r="2" customFormat="false" ht="15" hidden="false" customHeight="false" outlineLevel="0" collapsed="false">
      <c r="A2" s="0" t="s">
        <v>5</v>
      </c>
      <c r="B2" s="0" t="str">
        <f aca="false">INDEX(Rates!$B$2:$B$1000,MATCH($A2,Rates!$A$2:$A$1000,0))</f>
        <v>Field Operations</v>
      </c>
      <c r="C2" s="0" t="n">
        <f aca="false">INDEX(Rates!$C$2:$C$1000,MATCH($A2,Rates!$A$2:$A$1000,0))</f>
        <v>5</v>
      </c>
      <c r="D2" s="3" t="n">
        <f aca="false">SUM(Costs!$C$2:$C$1000)*C2/SUM($C$2:$C$4)</f>
        <v>5500</v>
      </c>
    </row>
    <row r="3" customFormat="false" ht="15" hidden="false" customHeight="false" outlineLevel="0" collapsed="false">
      <c r="A3" s="0" t="s">
        <v>7</v>
      </c>
      <c r="B3" s="0" t="str">
        <f aca="false">INDEX(Rates!$B$2:$B$1000,MATCH($A3,Rates!$A$2:$A$1000,0))</f>
        <v>Customer Support</v>
      </c>
      <c r="C3" s="0" t="n">
        <f aca="false">INDEX(Rates!$C$2:$C$1000,MATCH($A3,Rates!$A$2:$A$1000,0))</f>
        <v>2</v>
      </c>
      <c r="D3" s="3" t="n">
        <f aca="false">SUM(Costs!$C$2:$C$1000)*C3/SUM($C$2:$C$4)</f>
        <v>2200</v>
      </c>
    </row>
    <row r="4" customFormat="false" ht="15" hidden="false" customHeight="false" outlineLevel="0" collapsed="false">
      <c r="A4" s="0" t="s">
        <v>3</v>
      </c>
      <c r="B4" s="0" t="str">
        <f aca="false">INDEX(Rates!$B$2:$B$1000,MATCH($A4,Rates!$A$2:$A$1000,0))</f>
        <v>Engineering</v>
      </c>
      <c r="C4" s="0" t="n">
        <f aca="false">INDEX(Rates!$C$2:$C$1000,MATCH($A4,Rates!$A$2:$A$1000,0))</f>
        <v>3</v>
      </c>
      <c r="D4" s="3" t="n">
        <f aca="false">SUM(Costs!$C$2:$C$1000)*C4/SUM($C$2:$C$4)</f>
        <v>3300</v>
      </c>
    </row>
    <row r="6" customFormat="false" ht="15" hidden="false" customHeight="false" outlineLevel="0" collapsed="false">
      <c r="B6" s="0" t="s">
        <v>18</v>
      </c>
      <c r="D6" s="3" t="n">
        <f aca="false">SUM($D$2:$D$4)</f>
        <v>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1</v>
      </c>
      <c r="B1" s="1" t="s">
        <v>17</v>
      </c>
    </row>
    <row r="2" customFormat="false" ht="15" hidden="false" customHeight="false" outlineLevel="0" collapsed="false">
      <c r="A2" s="0" t="s">
        <v>6</v>
      </c>
      <c r="B2" s="0" t="n">
        <v>5000</v>
      </c>
    </row>
    <row r="3" customFormat="false" ht="15" hidden="false" customHeight="false" outlineLevel="0" collapsed="false">
      <c r="A3" s="0" t="s">
        <v>8</v>
      </c>
      <c r="B3" s="0" t="n">
        <v>2000</v>
      </c>
    </row>
    <row r="4" customFormat="false" ht="15" hidden="false" customHeight="false" outlineLevel="0" collapsed="false">
      <c r="A4" s="0" t="s">
        <v>4</v>
      </c>
      <c r="B4" s="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2026-10-23T15:56:28Z</dcterms:created>
  <dc:creator>openpyxl</dc:creator>
  <dc:description/>
  <dc:language>en-US</dc:language>
  <cp:lastModifiedBy/>
  <dcterms:modified xsi:type="dcterms:W3CDTF">2026-10-23T15:56:28Z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