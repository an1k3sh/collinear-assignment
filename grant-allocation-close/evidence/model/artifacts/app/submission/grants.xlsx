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Programs" sheetId="2" state="visible" r:id="rId2"/>
    <sheet name="Rates" sheetId="3" state="visible" r:id="rId3"/>
    <sheet name="Ledger" sheetId="4" state="visible" r:id="rId4"/>
    <sheet name="Summary" sheetId="5" state="visible" r:id="rId5"/>
    <sheet name="PriorClose" sheetId="6" state="hidden" r:id="rId6"/>
    <sheet name="Calc" sheetId="7" state="visible" r:id="rId7"/>
  </sheets>
  <definedNames>
    <definedName name="_xlnm._FilterDatabase" localSheetId="3" hidden="1">'Ledger'!$A$1:$H$31</definedName>
  </definedNames>
  <calcPr calcId="124519" calcMode="auto" fullCalcOnLoad="1" forceFullCalc="0"/>
</workbook>
</file>

<file path=xl/styles.xml><?xml version="1.0" encoding="utf-8"?>
<styleSheet xmlns="http://schemas.openxmlformats.org/spreadsheetml/2006/main">
  <numFmts count="4">
    <numFmt numFmtId="164" formatCode="yyyy-mm-dd hh:mm"/>
    <numFmt numFmtId="165" formatCode="&quot;$&quot;#,##0.00"/>
    <numFmt numFmtId="166" formatCode="#,##0.000"/>
    <numFmt numFmtId="167" formatCode="&quot;$&quot;#,##0.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Grant awards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'Summary'!F1</f>
            </strRef>
          </tx>
          <spPr>
            <a:ln>
              <a:prstDash val="solid"/>
            </a:ln>
          </spPr>
          <cat>
            <strRef>
              <f>'Summary'!$B$2:$B$9</f>
            </strRef>
          </cat>
          <val>
            <numRef>
              <f>'Summary'!$F$2:$F$9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Award 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Cutoff</t>
        </is>
      </c>
      <c r="B2" s="6" t="n">
        <v>46142.99930555555</v>
      </c>
    </row>
    <row r="3">
      <c r="A3" t="inlineStr">
        <is>
          <t>Budget USD</t>
        </is>
      </c>
      <c r="B3" s="7" t="n">
        <v>900.03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Program ID</t>
        </is>
      </c>
      <c r="B1" s="1" t="inlineStr">
        <is>
          <t>Program</t>
        </is>
      </c>
      <c r="C1" s="1" t="inlineStr">
        <is>
          <t>Weight</t>
        </is>
      </c>
      <c r="D1" s="1" t="inlineStr">
        <is>
          <t>Maximum award USD</t>
        </is>
      </c>
      <c r="E1" s="1" t="inlineStr">
        <is>
          <t>Approval</t>
        </is>
      </c>
      <c r="F1" s="1" t="inlineStr">
        <is>
          <t>Tie rank</t>
        </is>
      </c>
    </row>
    <row r="2">
      <c r="A2" t="inlineStr">
        <is>
          <t>001</t>
        </is>
      </c>
      <c r="B2" t="inlineStr">
        <is>
          <t>Food access</t>
        </is>
      </c>
      <c r="C2" t="n">
        <v>2</v>
      </c>
      <c r="D2" t="n">
        <v>80</v>
      </c>
      <c r="E2" t="inlineStr">
        <is>
          <t>approved</t>
        </is>
      </c>
      <c r="F2" t="n">
        <v>4</v>
      </c>
    </row>
    <row r="3">
      <c r="A3" t="inlineStr">
        <is>
          <t>01</t>
        </is>
      </c>
      <c r="B3" t="inlineStr">
        <is>
          <t>Rent support</t>
        </is>
      </c>
      <c r="C3" t="n">
        <v>1</v>
      </c>
      <c r="D3" t="n">
        <v>180</v>
      </c>
      <c r="E3" t="inlineStr">
        <is>
          <t>approved</t>
        </is>
      </c>
      <c r="F3" t="n">
        <v>2</v>
      </c>
    </row>
    <row r="4">
      <c r="A4" t="inlineStr">
        <is>
          <t>1</t>
        </is>
      </c>
      <c r="B4" t="inlineStr">
        <is>
          <t>Language classes</t>
        </is>
      </c>
      <c r="C4" t="n">
        <v>3</v>
      </c>
      <c r="D4" t="n">
        <v>60</v>
      </c>
      <c r="E4" t="inlineStr">
        <is>
          <t>approved</t>
        </is>
      </c>
      <c r="F4" t="n">
        <v>6</v>
      </c>
    </row>
    <row r="5">
      <c r="A5" t="inlineStr">
        <is>
          <t>010</t>
        </is>
      </c>
      <c r="B5" t="inlineStr">
        <is>
          <t>Youth skills</t>
        </is>
      </c>
      <c r="C5" t="n">
        <v>2</v>
      </c>
      <c r="D5" t="n">
        <v>130</v>
      </c>
      <c r="E5" t="inlineStr">
        <is>
          <t>approved</t>
        </is>
      </c>
      <c r="F5" t="n">
        <v>1</v>
      </c>
    </row>
    <row r="6">
      <c r="A6" t="inlineStr">
        <is>
          <t>10</t>
        </is>
      </c>
      <c r="B6" t="inlineStr">
        <is>
          <t>Community health</t>
        </is>
      </c>
      <c r="C6" t="n">
        <v>4</v>
      </c>
      <c r="D6" t="n">
        <v>250</v>
      </c>
      <c r="E6" t="inlineStr">
        <is>
          <t>approved</t>
        </is>
      </c>
      <c r="F6" t="n">
        <v>7</v>
      </c>
    </row>
    <row r="7">
      <c r="A7" t="inlineStr">
        <is>
          <t>A2</t>
        </is>
      </c>
      <c r="B7" t="inlineStr">
        <is>
          <t>Local transport</t>
        </is>
      </c>
      <c r="C7" t="n">
        <v>2</v>
      </c>
      <c r="D7" t="n">
        <v>90</v>
      </c>
      <c r="E7" t="inlineStr">
        <is>
          <t>approved</t>
        </is>
      </c>
      <c r="F7" t="n">
        <v>3</v>
      </c>
    </row>
    <row r="8">
      <c r="A8" t="inlineStr">
        <is>
          <t>A10</t>
        </is>
      </c>
      <c r="B8" t="inlineStr">
        <is>
          <t>Digital access</t>
        </is>
      </c>
      <c r="C8" t="n">
        <v>1</v>
      </c>
      <c r="D8" t="n">
        <v>110</v>
      </c>
      <c r="E8" t="inlineStr">
        <is>
          <t>approved</t>
        </is>
      </c>
      <c r="F8" t="n">
        <v>8</v>
      </c>
    </row>
    <row r="9">
      <c r="A9" t="inlineStr">
        <is>
          <t>R&amp;D</t>
        </is>
      </c>
      <c r="B9" t="inlineStr">
        <is>
          <t>Research and design</t>
        </is>
      </c>
      <c r="C9" t="n">
        <v>3</v>
      </c>
      <c r="D9" t="n">
        <v>140</v>
      </c>
      <c r="E9" t="inlineStr">
        <is>
          <t>approved</t>
        </is>
      </c>
      <c r="F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Currency</t>
        </is>
      </c>
      <c r="B1" s="1" t="inlineStr">
        <is>
          <t>USD per unit</t>
        </is>
      </c>
    </row>
    <row r="2">
      <c r="A2" t="inlineStr">
        <is>
          <t>GBP</t>
        </is>
      </c>
      <c r="B2" t="n">
        <v>1.35</v>
      </c>
    </row>
    <row r="3">
      <c r="A3" t="inlineStr">
        <is>
          <t>USD</t>
        </is>
      </c>
      <c r="B3" t="n">
        <v>1</v>
      </c>
    </row>
    <row r="4">
      <c r="A4" t="inlineStr">
        <is>
          <t>EUR</t>
        </is>
      </c>
      <c r="B4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Program ID</t>
        </is>
      </c>
      <c r="B1" s="1" t="inlineStr">
        <is>
          <t>Item ID</t>
        </is>
      </c>
      <c r="C1" s="1" t="inlineStr">
        <is>
          <t>Revision</t>
        </is>
      </c>
      <c r="D1" s="1" t="inlineStr">
        <is>
          <t>Recorded</t>
        </is>
      </c>
      <c r="E1" s="1" t="inlineStr">
        <is>
          <t>Effective</t>
        </is>
      </c>
      <c r="F1" s="1" t="inlineStr">
        <is>
          <t>Status</t>
        </is>
      </c>
      <c r="G1" s="1" t="inlineStr">
        <is>
          <t>Currency</t>
        </is>
      </c>
      <c r="H1" s="1" t="inlineStr">
        <is>
          <t>Amount</t>
        </is>
      </c>
      <c r="I1" s="8" t="inlineStr">
        <is>
          <t>Key (len|prog|item)</t>
        </is>
      </c>
      <c r="J1" s="8" t="inlineStr">
        <is>
          <t>Recorded&lt;=cutoff</t>
        </is>
      </c>
      <c r="K1" s="8" t="inlineStr">
        <is>
          <t>Selected version</t>
        </is>
      </c>
      <c r="L1" s="8" t="inlineStr">
        <is>
          <t>Counted</t>
        </is>
      </c>
      <c r="M1" s="8" t="inlineStr">
        <is>
          <t>USD rate</t>
        </is>
      </c>
      <c r="N1" s="8" t="inlineStr">
        <is>
          <t>USD cents</t>
        </is>
      </c>
    </row>
    <row r="2">
      <c r="A2" s="4" t="inlineStr">
        <is>
          <t>01</t>
        </is>
      </c>
      <c r="B2" s="4" t="inlineStr">
        <is>
          <t>001</t>
        </is>
      </c>
      <c r="C2" t="n">
        <v>1</v>
      </c>
      <c r="D2" s="6" t="n">
        <v>46132</v>
      </c>
      <c r="E2" s="6" t="n">
        <v>46131</v>
      </c>
      <c r="F2" t="inlineStr">
        <is>
          <t>posted</t>
        </is>
      </c>
      <c r="G2" t="inlineStr">
        <is>
          <t>USD</t>
        </is>
      </c>
      <c r="H2" s="9" t="n">
        <v>180</v>
      </c>
      <c r="I2" t="str">
        <f>IF(A2="","",LEN(A2)&amp;"|"&amp;A2&amp;B2)</f>
        <v>2|01001</v>
      </c>
      <c r="J2">
        <f>IF(A2="",0,IF(D2&lt;=Control!$B$2,1,0))</f>
        <v>1</v>
      </c>
      <c r="K2">
        <f>IF(J2=1,IF(SUMPRODUCT($J$2:$J$501*EXACT($I$2:$I$501,I2)*($C$2:$C$501&gt;C2))=0,1,0),0)</f>
        <v>1</v>
      </c>
      <c r="L2">
        <f>IF(K2=1,IF(EXACT(F2,"posted"),IF(E2&lt;=Control!$B$2,1,0),0),0)</f>
        <v>1</v>
      </c>
      <c r="M2">
        <f>IF(A2="",0,SUMPRODUCT(EXACT(Rates!$A$2:$A$4,G2)*Rates!$B$2:$B$4))</f>
        <v>1</v>
      </c>
      <c r="N2">
        <f>IF(L2=1,ROUND(ROUND(H2*M2*100,6),0),0)</f>
        <v>18000</v>
      </c>
    </row>
    <row r="3">
      <c r="A3" s="4" t="inlineStr">
        <is>
          <t>010</t>
        </is>
      </c>
      <c r="B3" s="4" t="inlineStr">
        <is>
          <t>01</t>
        </is>
      </c>
      <c r="C3" t="n">
        <v>1</v>
      </c>
      <c r="D3" s="6" t="n">
        <v>46132</v>
      </c>
      <c r="E3" s="6" t="n">
        <v>46131</v>
      </c>
      <c r="F3" t="inlineStr">
        <is>
          <t>posted</t>
        </is>
      </c>
      <c r="G3" t="inlineStr">
        <is>
          <t>EUR</t>
        </is>
      </c>
      <c r="H3" s="9" t="n">
        <v>50</v>
      </c>
      <c r="I3" t="str">
        <f>IF(A3="","",LEN(A3)&amp;"|"&amp;A3&amp;B3)</f>
        <v>3|01001</v>
      </c>
      <c r="J3">
        <f>IF(A3="",0,IF(D3&lt;=Control!$B$2,1,0))</f>
        <v>1</v>
      </c>
      <c r="K3">
        <f>IF(J3=1,IF(SUMPRODUCT($J$2:$J$501*EXACT($I$2:$I$501,I3)*($C$2:$C$501&gt;C3))=0,1,0),0)</f>
        <v>1</v>
      </c>
      <c r="L3">
        <f>IF(K3=1,IF(EXACT(F3,"posted"),IF(E3&lt;=Control!$B$2,1,0),0),0)</f>
        <v>1</v>
      </c>
      <c r="M3">
        <f>IF(A3="",0,SUMPRODUCT(EXACT(Rates!$A$2:$A$4,G3)*Rates!$B$2:$B$4))</f>
        <v>1.2</v>
      </c>
      <c r="N3">
        <f>IF(L3=1,ROUND(ROUND(H3*M3*100,6),0),0)</f>
        <v>6000</v>
      </c>
    </row>
    <row r="4">
      <c r="A4" s="4" t="inlineStr">
        <is>
          <t>10</t>
        </is>
      </c>
      <c r="B4" s="4" t="inlineStr">
        <is>
          <t>01</t>
        </is>
      </c>
      <c r="C4" t="n">
        <v>1</v>
      </c>
      <c r="D4" s="6" t="n">
        <v>46132</v>
      </c>
      <c r="E4" s="6" t="n">
        <v>46131</v>
      </c>
      <c r="F4" t="inlineStr">
        <is>
          <t>posted</t>
        </is>
      </c>
      <c r="G4" t="inlineStr">
        <is>
          <t>EUR</t>
        </is>
      </c>
      <c r="H4" s="9" t="n">
        <v>120</v>
      </c>
      <c r="I4" t="str">
        <f>IF(A4="","",LEN(A4)&amp;"|"&amp;A4&amp;B4)</f>
        <v>2|1001</v>
      </c>
      <c r="J4">
        <f>IF(A4="",0,IF(D4&lt;=Control!$B$2,1,0))</f>
        <v>1</v>
      </c>
      <c r="K4">
        <f>IF(J4=1,IF(SUMPRODUCT($J$2:$J$501*EXACT($I$2:$I$501,I4)*($C$2:$C$501&gt;C4))=0,1,0),0)</f>
        <v>1</v>
      </c>
      <c r="L4">
        <f>IF(K4=1,IF(EXACT(F4,"posted"),IF(E4&lt;=Control!$B$2,1,0),0),0)</f>
        <v>1</v>
      </c>
      <c r="M4">
        <f>IF(A4="",0,SUMPRODUCT(EXACT(Rates!$A$2:$A$4,G4)*Rates!$B$2:$B$4))</f>
        <v>1.2</v>
      </c>
      <c r="N4">
        <f>IF(L4=1,ROUND(ROUND(H4*M4*100,6),0),0)</f>
        <v>14400</v>
      </c>
    </row>
    <row r="5" hidden="1">
      <c r="A5" s="4" t="inlineStr">
        <is>
          <t>01</t>
        </is>
      </c>
      <c r="B5" s="4" t="inlineStr">
        <is>
          <t>1</t>
        </is>
      </c>
      <c r="C5" t="n">
        <v>1</v>
      </c>
      <c r="D5" s="6" t="n">
        <v>46132</v>
      </c>
      <c r="E5" s="6" t="n">
        <v>46131</v>
      </c>
      <c r="F5" t="inlineStr">
        <is>
          <t>posted</t>
        </is>
      </c>
      <c r="G5" t="inlineStr">
        <is>
          <t>GBP</t>
        </is>
      </c>
      <c r="H5" s="9" t="n">
        <v>60</v>
      </c>
      <c r="I5" t="str">
        <f>IF(A5="","",LEN(A5)&amp;"|"&amp;A5&amp;B5)</f>
        <v>2|011</v>
      </c>
      <c r="J5">
        <f>IF(A5="",0,IF(D5&lt;=Control!$B$2,1,0))</f>
        <v>1</v>
      </c>
      <c r="K5">
        <f>IF(J5=1,IF(SUMPRODUCT($J$2:$J$501*EXACT($I$2:$I$501,I5)*($C$2:$C$501&gt;C5))=0,1,0),0)</f>
        <v>1</v>
      </c>
      <c r="L5">
        <f>IF(K5=1,IF(EXACT(F5,"posted"),IF(E5&lt;=Control!$B$2,1,0),0),0)</f>
        <v>1</v>
      </c>
      <c r="M5">
        <f>IF(A5="",0,SUMPRODUCT(EXACT(Rates!$A$2:$A$4,G5)*Rates!$B$2:$B$4))</f>
        <v>1.35</v>
      </c>
      <c r="N5">
        <f>IF(L5=1,ROUND(ROUND(H5*M5*100,6),0),0)</f>
        <v>8100</v>
      </c>
    </row>
    <row r="6">
      <c r="A6" s="4" t="inlineStr">
        <is>
          <t>10</t>
        </is>
      </c>
      <c r="B6" s="4" t="inlineStr">
        <is>
          <t>001</t>
        </is>
      </c>
      <c r="C6" t="n">
        <v>1</v>
      </c>
      <c r="D6" s="6" t="n">
        <v>46132</v>
      </c>
      <c r="E6" s="6" t="n">
        <v>46131</v>
      </c>
      <c r="F6" t="inlineStr">
        <is>
          <t>posted</t>
        </is>
      </c>
      <c r="G6" t="inlineStr">
        <is>
          <t>USD</t>
        </is>
      </c>
      <c r="H6" s="9" t="n">
        <v>360</v>
      </c>
      <c r="I6" t="str">
        <f>IF(A6="","",LEN(A6)&amp;"|"&amp;A6&amp;B6)</f>
        <v>2|10001</v>
      </c>
      <c r="J6">
        <f>IF(A6="",0,IF(D6&lt;=Control!$B$2,1,0))</f>
        <v>1</v>
      </c>
      <c r="K6">
        <f>IF(J6=1,IF(SUMPRODUCT($J$2:$J$501*EXACT($I$2:$I$501,I6)*($C$2:$C$501&gt;C6))=0,1,0),0)</f>
        <v>1</v>
      </c>
      <c r="L6">
        <f>IF(K6=1,IF(EXACT(F6,"posted"),IF(E6&lt;=Control!$B$2,1,0),0),0)</f>
        <v>1</v>
      </c>
      <c r="M6">
        <f>IF(A6="",0,SUMPRODUCT(EXACT(Rates!$A$2:$A$4,G6)*Rates!$B$2:$B$4))</f>
        <v>1</v>
      </c>
      <c r="N6">
        <f>IF(L6=1,ROUND(ROUND(H6*M6*100,6),0),0)</f>
        <v>36000</v>
      </c>
    </row>
    <row r="7">
      <c r="A7" s="4" t="inlineStr">
        <is>
          <t>010</t>
        </is>
      </c>
      <c r="B7" s="4" t="inlineStr">
        <is>
          <t>001</t>
        </is>
      </c>
      <c r="C7" t="n">
        <v>1</v>
      </c>
      <c r="D7" s="6" t="n">
        <v>46132</v>
      </c>
      <c r="E7" s="6" t="n">
        <v>46131</v>
      </c>
      <c r="F7" t="inlineStr">
        <is>
          <t>posted</t>
        </is>
      </c>
      <c r="G7" t="inlineStr">
        <is>
          <t>USD</t>
        </is>
      </c>
      <c r="H7" s="9" t="n">
        <v>150</v>
      </c>
      <c r="I7" t="str">
        <f>IF(A7="","",LEN(A7)&amp;"|"&amp;A7&amp;B7)</f>
        <v>3|010001</v>
      </c>
      <c r="J7">
        <f>IF(A7="",0,IF(D7&lt;=Control!$B$2,1,0))</f>
        <v>1</v>
      </c>
      <c r="K7">
        <f>IF(J7=1,IF(SUMPRODUCT($J$2:$J$501*EXACT($I$2:$I$501,I7)*($C$2:$C$501&gt;C7))=0,1,0),0)</f>
        <v>0</v>
      </c>
      <c r="L7">
        <f>IF(K7=1,IF(EXACT(F7,"posted"),IF(E7&lt;=Control!$B$2,1,0),0),0)</f>
        <v>0</v>
      </c>
      <c r="M7">
        <f>IF(A7="",0,SUMPRODUCT(EXACT(Rates!$A$2:$A$4,G7)*Rates!$B$2:$B$4))</f>
        <v>1</v>
      </c>
      <c r="N7">
        <f>IF(L7=1,ROUND(ROUND(H7*M7*100,6),0),0)</f>
        <v>0</v>
      </c>
    </row>
    <row r="8">
      <c r="A8" s="4" t="inlineStr">
        <is>
          <t>A2</t>
        </is>
      </c>
      <c r="B8" s="4" t="inlineStr">
        <is>
          <t>001</t>
        </is>
      </c>
      <c r="C8" t="n">
        <v>1</v>
      </c>
      <c r="D8" s="6" t="n">
        <v>46132</v>
      </c>
      <c r="E8" s="6" t="n">
        <v>46131</v>
      </c>
      <c r="F8" t="inlineStr">
        <is>
          <t>posted</t>
        </is>
      </c>
      <c r="G8" t="inlineStr">
        <is>
          <t>USD</t>
        </is>
      </c>
      <c r="H8" s="9" t="n">
        <v>120</v>
      </c>
      <c r="I8" t="str">
        <f>IF(A8="","",LEN(A8)&amp;"|"&amp;A8&amp;B8)</f>
        <v>2|A2001</v>
      </c>
      <c r="J8">
        <f>IF(A8="",0,IF(D8&lt;=Control!$B$2,1,0))</f>
        <v>1</v>
      </c>
      <c r="K8">
        <f>IF(J8=1,IF(SUMPRODUCT($J$2:$J$501*EXACT($I$2:$I$501,I8)*($C$2:$C$501&gt;C8))=0,1,0),0)</f>
        <v>0</v>
      </c>
      <c r="L8">
        <f>IF(K8=1,IF(EXACT(F8,"posted"),IF(E8&lt;=Control!$B$2,1,0),0),0)</f>
        <v>0</v>
      </c>
      <c r="M8">
        <f>IF(A8="",0,SUMPRODUCT(EXACT(Rates!$A$2:$A$4,G8)*Rates!$B$2:$B$4))</f>
        <v>1</v>
      </c>
      <c r="N8">
        <f>IF(L8=1,ROUND(ROUND(H8*M8*100,6),0),0)</f>
        <v>0</v>
      </c>
    </row>
    <row r="9">
      <c r="A9" s="4" t="inlineStr">
        <is>
          <t>001</t>
        </is>
      </c>
      <c r="B9" s="4" t="inlineStr">
        <is>
          <t>1</t>
        </is>
      </c>
      <c r="C9" t="n">
        <v>1</v>
      </c>
      <c r="D9" s="6" t="n">
        <v>46132</v>
      </c>
      <c r="E9" s="6" t="n">
        <v>46131</v>
      </c>
      <c r="F9" t="inlineStr">
        <is>
          <t>posted</t>
        </is>
      </c>
      <c r="G9" t="inlineStr">
        <is>
          <t>GBP</t>
        </is>
      </c>
      <c r="H9" s="9" t="n">
        <v>24</v>
      </c>
      <c r="I9" t="str">
        <f>IF(A9="","",LEN(A9)&amp;"|"&amp;A9&amp;B9)</f>
        <v>3|0011</v>
      </c>
      <c r="J9">
        <f>IF(A9="",0,IF(D9&lt;=Control!$B$2,1,0))</f>
        <v>1</v>
      </c>
      <c r="K9">
        <f>IF(J9=1,IF(SUMPRODUCT($J$2:$J$501*EXACT($I$2:$I$501,I9)*($C$2:$C$501&gt;C9))=0,1,0),0)</f>
        <v>1</v>
      </c>
      <c r="L9">
        <f>IF(K9=1,IF(EXACT(F9,"posted"),IF(E9&lt;=Control!$B$2,1,0),0),0)</f>
        <v>1</v>
      </c>
      <c r="M9">
        <f>IF(A9="",0,SUMPRODUCT(EXACT(Rates!$A$2:$A$4,G9)*Rates!$B$2:$B$4))</f>
        <v>1.35</v>
      </c>
      <c r="N9">
        <f>IF(L9=1,ROUND(ROUND(H9*M9*100,6),0),0)</f>
        <v>3240</v>
      </c>
    </row>
    <row r="10">
      <c r="A10" s="4" t="inlineStr">
        <is>
          <t>A2</t>
        </is>
      </c>
      <c r="B10" s="4" t="inlineStr">
        <is>
          <t>1</t>
        </is>
      </c>
      <c r="C10" t="n">
        <v>1</v>
      </c>
      <c r="D10" s="6" t="n">
        <v>46132</v>
      </c>
      <c r="E10" s="6" t="n">
        <v>46131</v>
      </c>
      <c r="F10" t="inlineStr">
        <is>
          <t>posted</t>
        </is>
      </c>
      <c r="G10" t="inlineStr">
        <is>
          <t>GBP</t>
        </is>
      </c>
      <c r="H10" s="9" t="n">
        <v>40</v>
      </c>
      <c r="I10" t="str">
        <f>IF(A10="","",LEN(A10)&amp;"|"&amp;A10&amp;B10)</f>
        <v>2|A21</v>
      </c>
      <c r="J10">
        <f>IF(A10="",0,IF(D10&lt;=Control!$B$2,1,0))</f>
        <v>1</v>
      </c>
      <c r="K10">
        <f>IF(J10=1,IF(SUMPRODUCT($J$2:$J$501*EXACT($I$2:$I$501,I10)*($C$2:$C$501&gt;C10))=0,1,0),0)</f>
        <v>1</v>
      </c>
      <c r="L10">
        <f>IF(K10=1,IF(EXACT(F10,"posted"),IF(E10&lt;=Control!$B$2,1,0),0),0)</f>
        <v>1</v>
      </c>
      <c r="M10">
        <f>IF(A10="",0,SUMPRODUCT(EXACT(Rates!$A$2:$A$4,G10)*Rates!$B$2:$B$4))</f>
        <v>1.35</v>
      </c>
      <c r="N10">
        <f>IF(L10=1,ROUND(ROUND(H10*M10*100,6),0),0)</f>
        <v>5400</v>
      </c>
    </row>
    <row r="11">
      <c r="A11" s="4" t="inlineStr">
        <is>
          <t>1</t>
        </is>
      </c>
      <c r="B11" s="4" t="inlineStr">
        <is>
          <t>001</t>
        </is>
      </c>
      <c r="C11" t="n">
        <v>1</v>
      </c>
      <c r="D11" s="6" t="n">
        <v>46132</v>
      </c>
      <c r="E11" s="6" t="n">
        <v>46131</v>
      </c>
      <c r="F11" t="inlineStr">
        <is>
          <t>posted</t>
        </is>
      </c>
      <c r="G11" t="inlineStr">
        <is>
          <t>USD</t>
        </is>
      </c>
      <c r="H11" s="9" t="n">
        <v>48</v>
      </c>
      <c r="I11" t="str">
        <f>IF(A11="","",LEN(A11)&amp;"|"&amp;A11&amp;B11)</f>
        <v>1|1001</v>
      </c>
      <c r="J11">
        <f>IF(A11="",0,IF(D11&lt;=Control!$B$2,1,0))</f>
        <v>1</v>
      </c>
      <c r="K11">
        <f>IF(J11=1,IF(SUMPRODUCT($J$2:$J$501*EXACT($I$2:$I$501,I11)*($C$2:$C$501&gt;C11))=0,1,0),0)</f>
        <v>1</v>
      </c>
      <c r="L11">
        <f>IF(K11=1,IF(EXACT(F11,"posted"),IF(E11&lt;=Control!$B$2,1,0),0),0)</f>
        <v>1</v>
      </c>
      <c r="M11">
        <f>IF(A11="",0,SUMPRODUCT(EXACT(Rates!$A$2:$A$4,G11)*Rates!$B$2:$B$4))</f>
        <v>1</v>
      </c>
      <c r="N11">
        <f>IF(L11=1,ROUND(ROUND(H11*M11*100,6),0),0)</f>
        <v>4800</v>
      </c>
    </row>
    <row r="12">
      <c r="A12" s="4" t="inlineStr">
        <is>
          <t>R&amp;D</t>
        </is>
      </c>
      <c r="B12" s="4" t="inlineStr">
        <is>
          <t>01</t>
        </is>
      </c>
      <c r="C12" t="n">
        <v>1</v>
      </c>
      <c r="D12" s="6" t="n">
        <v>46132</v>
      </c>
      <c r="E12" s="6" t="n">
        <v>46131</v>
      </c>
      <c r="F12" t="inlineStr">
        <is>
          <t>posted</t>
        </is>
      </c>
      <c r="G12" t="inlineStr">
        <is>
          <t>EUR</t>
        </is>
      </c>
      <c r="H12" s="9" t="n">
        <v>42</v>
      </c>
      <c r="I12" t="str">
        <f>IF(A12="","",LEN(A12)&amp;"|"&amp;A12&amp;B12)</f>
        <v>3|R&amp;D01</v>
      </c>
      <c r="J12">
        <f>IF(A12="",0,IF(D12&lt;=Control!$B$2,1,0))</f>
        <v>1</v>
      </c>
      <c r="K12">
        <f>IF(J12=1,IF(SUMPRODUCT($J$2:$J$501*EXACT($I$2:$I$501,I12)*($C$2:$C$501&gt;C12))=0,1,0),0)</f>
        <v>1</v>
      </c>
      <c r="L12">
        <f>IF(K12=1,IF(EXACT(F12,"posted"),IF(E12&lt;=Control!$B$2,1,0),0),0)</f>
        <v>1</v>
      </c>
      <c r="M12">
        <f>IF(A12="",0,SUMPRODUCT(EXACT(Rates!$A$2:$A$4,G12)*Rates!$B$2:$B$4))</f>
        <v>1.2</v>
      </c>
      <c r="N12">
        <f>IF(L12=1,ROUND(ROUND(H12*M12*100,6),0),0)</f>
        <v>5040</v>
      </c>
    </row>
    <row r="13">
      <c r="A13" s="4" t="inlineStr">
        <is>
          <t>R&amp;D</t>
        </is>
      </c>
      <c r="B13" s="4" t="inlineStr">
        <is>
          <t>1</t>
        </is>
      </c>
      <c r="C13" t="n">
        <v>1</v>
      </c>
      <c r="D13" s="6" t="n">
        <v>46132</v>
      </c>
      <c r="E13" s="6" t="n">
        <v>46131</v>
      </c>
      <c r="F13" t="inlineStr">
        <is>
          <t>posted</t>
        </is>
      </c>
      <c r="G13" t="inlineStr">
        <is>
          <t>GBP</t>
        </is>
      </c>
      <c r="H13" s="9" t="n">
        <v>42</v>
      </c>
      <c r="I13" t="str">
        <f>IF(A13="","",LEN(A13)&amp;"|"&amp;A13&amp;B13)</f>
        <v>3|R&amp;D1</v>
      </c>
      <c r="J13">
        <f>IF(A13="",0,IF(D13&lt;=Control!$B$2,1,0))</f>
        <v>1</v>
      </c>
      <c r="K13">
        <f>IF(J13=1,IF(SUMPRODUCT($J$2:$J$501*EXACT($I$2:$I$501,I13)*($C$2:$C$501&gt;C13))=0,1,0),0)</f>
        <v>1</v>
      </c>
      <c r="L13">
        <f>IF(K13=1,IF(EXACT(F13,"posted"),IF(E13&lt;=Control!$B$2,1,0),0),0)</f>
        <v>1</v>
      </c>
      <c r="M13">
        <f>IF(A13="",0,SUMPRODUCT(EXACT(Rates!$A$2:$A$4,G13)*Rates!$B$2:$B$4))</f>
        <v>1.35</v>
      </c>
      <c r="N13">
        <f>IF(L13=1,ROUND(ROUND(H13*M13*100,6),0),0)</f>
        <v>5670</v>
      </c>
    </row>
    <row r="14">
      <c r="A14" s="4" t="inlineStr">
        <is>
          <t>010</t>
        </is>
      </c>
      <c r="B14" s="4" t="inlineStr">
        <is>
          <t>001</t>
        </is>
      </c>
      <c r="C14" t="n">
        <v>2</v>
      </c>
      <c r="D14" s="6" t="n">
        <v>46141</v>
      </c>
      <c r="E14" s="6" t="n">
        <v>46174</v>
      </c>
      <c r="F14" t="inlineStr">
        <is>
          <t>posted</t>
        </is>
      </c>
      <c r="G14" t="inlineStr">
        <is>
          <t>USD</t>
        </is>
      </c>
      <c r="H14" s="9" t="n">
        <v>150</v>
      </c>
      <c r="I14" t="str">
        <f>IF(A14="","",LEN(A14)&amp;"|"&amp;A14&amp;B14)</f>
        <v>3|010001</v>
      </c>
      <c r="J14">
        <f>IF(A14="",0,IF(D14&lt;=Control!$B$2,1,0))</f>
        <v>1</v>
      </c>
      <c r="K14">
        <f>IF(J14=1,IF(SUMPRODUCT($J$2:$J$501*EXACT($I$2:$I$501,I14)*($C$2:$C$501&gt;C14))=0,1,0),0)</f>
        <v>1</v>
      </c>
      <c r="L14">
        <f>IF(K14=1,IF(EXACT(F14,"posted"),IF(E14&lt;=Control!$B$2,1,0),0),0)</f>
        <v>0</v>
      </c>
      <c r="M14">
        <f>IF(A14="",0,SUMPRODUCT(EXACT(Rates!$A$2:$A$4,G14)*Rates!$B$2:$B$4))</f>
        <v>1</v>
      </c>
      <c r="N14">
        <f>IF(L14=1,ROUND(ROUND(H14*M14*100,6),0),0)</f>
        <v>0</v>
      </c>
    </row>
    <row r="15">
      <c r="A15" s="4" t="inlineStr">
        <is>
          <t>001</t>
        </is>
      </c>
      <c r="B15" s="4" t="inlineStr">
        <is>
          <t>01</t>
        </is>
      </c>
      <c r="C15" t="n">
        <v>1</v>
      </c>
      <c r="D15" s="6" t="n">
        <v>46132</v>
      </c>
      <c r="E15" s="6" t="n">
        <v>46131</v>
      </c>
      <c r="F15" t="inlineStr">
        <is>
          <t>posted</t>
        </is>
      </c>
      <c r="G15" t="inlineStr">
        <is>
          <t>EUR</t>
        </is>
      </c>
      <c r="H15" s="9" t="n">
        <v>24</v>
      </c>
      <c r="I15" t="str">
        <f>IF(A15="","",LEN(A15)&amp;"|"&amp;A15&amp;B15)</f>
        <v>3|00101</v>
      </c>
      <c r="J15">
        <f>IF(A15="",0,IF(D15&lt;=Control!$B$2,1,0))</f>
        <v>1</v>
      </c>
      <c r="K15">
        <f>IF(J15=1,IF(SUMPRODUCT($J$2:$J$501*EXACT($I$2:$I$501,I15)*($C$2:$C$501&gt;C15))=0,1,0),0)</f>
        <v>1</v>
      </c>
      <c r="L15">
        <f>IF(K15=1,IF(EXACT(F15,"posted"),IF(E15&lt;=Control!$B$2,1,0),0),0)</f>
        <v>1</v>
      </c>
      <c r="M15">
        <f>IF(A15="",0,SUMPRODUCT(EXACT(Rates!$A$2:$A$4,G15)*Rates!$B$2:$B$4))</f>
        <v>1.2</v>
      </c>
      <c r="N15">
        <f>IF(L15=1,ROUND(ROUND(H15*M15*100,6),0),0)</f>
        <v>2880</v>
      </c>
    </row>
    <row r="16">
      <c r="A16" s="4" t="inlineStr">
        <is>
          <t>10</t>
        </is>
      </c>
      <c r="B16" s="4" t="inlineStr">
        <is>
          <t>1</t>
        </is>
      </c>
      <c r="C16" t="n">
        <v>1</v>
      </c>
      <c r="D16" s="6" t="n">
        <v>46132</v>
      </c>
      <c r="E16" s="6" t="n">
        <v>46131</v>
      </c>
      <c r="F16" t="inlineStr">
        <is>
          <t>posted</t>
        </is>
      </c>
      <c r="G16" t="inlineStr">
        <is>
          <t>GBP</t>
        </is>
      </c>
      <c r="H16" s="9" t="n">
        <v>120</v>
      </c>
      <c r="I16" t="str">
        <f>IF(A16="","",LEN(A16)&amp;"|"&amp;A16&amp;B16)</f>
        <v>2|101</v>
      </c>
      <c r="J16">
        <f>IF(A16="",0,IF(D16&lt;=Control!$B$2,1,0))</f>
        <v>1</v>
      </c>
      <c r="K16">
        <f>IF(J16=1,IF(SUMPRODUCT($J$2:$J$501*EXACT($I$2:$I$501,I16)*($C$2:$C$501&gt;C16))=0,1,0),0)</f>
        <v>1</v>
      </c>
      <c r="L16">
        <f>IF(K16=1,IF(EXACT(F16,"posted"),IF(E16&lt;=Control!$B$2,1,0),0),0)</f>
        <v>1</v>
      </c>
      <c r="M16">
        <f>IF(A16="",0,SUMPRODUCT(EXACT(Rates!$A$2:$A$4,G16)*Rates!$B$2:$B$4))</f>
        <v>1.35</v>
      </c>
      <c r="N16">
        <f>IF(L16=1,ROUND(ROUND(H16*M16*100,6),0),0)</f>
        <v>16200</v>
      </c>
    </row>
    <row r="17">
      <c r="A17" s="4" t="inlineStr">
        <is>
          <t>R&amp;D</t>
        </is>
      </c>
      <c r="B17" s="4" t="inlineStr">
        <is>
          <t>001</t>
        </is>
      </c>
      <c r="C17" t="n">
        <v>1</v>
      </c>
      <c r="D17" s="6" t="n">
        <v>46132</v>
      </c>
      <c r="E17" s="6" t="n">
        <v>46131</v>
      </c>
      <c r="F17" t="inlineStr">
        <is>
          <t>posted</t>
        </is>
      </c>
      <c r="G17" t="inlineStr">
        <is>
          <t>USD</t>
        </is>
      </c>
      <c r="H17" s="9" t="n">
        <v>126</v>
      </c>
      <c r="I17" t="str">
        <f>IF(A17="","",LEN(A17)&amp;"|"&amp;A17&amp;B17)</f>
        <v>3|R&amp;D001</v>
      </c>
      <c r="J17">
        <f>IF(A17="",0,IF(D17&lt;=Control!$B$2,1,0))</f>
        <v>1</v>
      </c>
      <c r="K17">
        <f>IF(J17=1,IF(SUMPRODUCT($J$2:$J$501*EXACT($I$2:$I$501,I17)*($C$2:$C$501&gt;C17))=0,1,0),0)</f>
        <v>1</v>
      </c>
      <c r="L17">
        <f>IF(K17=1,IF(EXACT(F17,"posted"),IF(E17&lt;=Control!$B$2,1,0),0),0)</f>
        <v>1</v>
      </c>
      <c r="M17">
        <f>IF(A17="",0,SUMPRODUCT(EXACT(Rates!$A$2:$A$4,G17)*Rates!$B$2:$B$4))</f>
        <v>1</v>
      </c>
      <c r="N17">
        <f>IF(L17=1,ROUND(ROUND(H17*M17*100,6),0),0)</f>
        <v>12600</v>
      </c>
    </row>
    <row r="18">
      <c r="A18" s="4" t="inlineStr">
        <is>
          <t>A10</t>
        </is>
      </c>
      <c r="B18" s="4" t="inlineStr">
        <is>
          <t>01</t>
        </is>
      </c>
      <c r="C18" t="n">
        <v>1</v>
      </c>
      <c r="D18" s="6" t="n">
        <v>46132</v>
      </c>
      <c r="E18" s="6" t="n">
        <v>46131</v>
      </c>
      <c r="F18" t="inlineStr">
        <is>
          <t>posted</t>
        </is>
      </c>
      <c r="G18" t="inlineStr">
        <is>
          <t>EUR</t>
        </is>
      </c>
      <c r="H18" s="9" t="n">
        <v>32</v>
      </c>
      <c r="I18" t="str">
        <f>IF(A18="","",LEN(A18)&amp;"|"&amp;A18&amp;B18)</f>
        <v>3|A1001</v>
      </c>
      <c r="J18">
        <f>IF(A18="",0,IF(D18&lt;=Control!$B$2,1,0))</f>
        <v>1</v>
      </c>
      <c r="K18">
        <f>IF(J18=1,IF(SUMPRODUCT($J$2:$J$501*EXACT($I$2:$I$501,I18)*($C$2:$C$501&gt;C18))=0,1,0),0)</f>
        <v>1</v>
      </c>
      <c r="L18">
        <f>IF(K18=1,IF(EXACT(F18,"posted"),IF(E18&lt;=Control!$B$2,1,0),0),0)</f>
        <v>1</v>
      </c>
      <c r="M18">
        <f>IF(A18="",0,SUMPRODUCT(EXACT(Rates!$A$2:$A$4,G18)*Rates!$B$2:$B$4))</f>
        <v>1.2</v>
      </c>
      <c r="N18">
        <f>IF(L18=1,ROUND(ROUND(H18*M18*100,6),0),0)</f>
        <v>3840</v>
      </c>
    </row>
    <row r="19">
      <c r="A19" s="4" t="inlineStr">
        <is>
          <t>1</t>
        </is>
      </c>
      <c r="B19" s="4" t="inlineStr">
        <is>
          <t>01</t>
        </is>
      </c>
      <c r="C19" t="n">
        <v>1</v>
      </c>
      <c r="D19" s="6" t="n">
        <v>46132</v>
      </c>
      <c r="E19" s="6" t="n">
        <v>46131</v>
      </c>
      <c r="F19" t="inlineStr">
        <is>
          <t>posted</t>
        </is>
      </c>
      <c r="G19" t="inlineStr">
        <is>
          <t>EUR</t>
        </is>
      </c>
      <c r="H19" s="9" t="n">
        <v>16</v>
      </c>
      <c r="I19" t="str">
        <f>IF(A19="","",LEN(A19)&amp;"|"&amp;A19&amp;B19)</f>
        <v>1|101</v>
      </c>
      <c r="J19">
        <f>IF(A19="",0,IF(D19&lt;=Control!$B$2,1,0))</f>
        <v>1</v>
      </c>
      <c r="K19">
        <f>IF(J19=1,IF(SUMPRODUCT($J$2:$J$501*EXACT($I$2:$I$501,I19)*($C$2:$C$501&gt;C19))=0,1,0),0)</f>
        <v>1</v>
      </c>
      <c r="L19">
        <f>IF(K19=1,IF(EXACT(F19,"posted"),IF(E19&lt;=Control!$B$2,1,0),0),0)</f>
        <v>1</v>
      </c>
      <c r="M19">
        <f>IF(A19="",0,SUMPRODUCT(EXACT(Rates!$A$2:$A$4,G19)*Rates!$B$2:$B$4))</f>
        <v>1.2</v>
      </c>
      <c r="N19">
        <f>IF(L19=1,ROUND(ROUND(H19*M19*100,6),0),0)</f>
        <v>1920</v>
      </c>
    </row>
    <row r="20">
      <c r="A20" s="4" t="inlineStr">
        <is>
          <t>001</t>
        </is>
      </c>
      <c r="B20" s="4" t="inlineStr">
        <is>
          <t>001</t>
        </is>
      </c>
      <c r="C20" t="n">
        <v>2</v>
      </c>
      <c r="D20" s="6" t="n">
        <v>46144</v>
      </c>
      <c r="E20" s="6" t="n">
        <v>46132</v>
      </c>
      <c r="F20" t="inlineStr">
        <is>
          <t>posted</t>
        </is>
      </c>
      <c r="G20" t="inlineStr">
        <is>
          <t>USD</t>
        </is>
      </c>
      <c r="H20" s="9" t="n">
        <v>999</v>
      </c>
      <c r="I20" t="str">
        <f>IF(A20="","",LEN(A20)&amp;"|"&amp;A20&amp;B20)</f>
        <v>3|001001</v>
      </c>
      <c r="J20">
        <f>IF(A20="",0,IF(D20&lt;=Control!$B$2,1,0))</f>
        <v>0</v>
      </c>
      <c r="K20">
        <f>IF(J20=1,IF(SUMPRODUCT($J$2:$J$501*EXACT($I$2:$I$501,I20)*($C$2:$C$501&gt;C20))=0,1,0),0)</f>
        <v>0</v>
      </c>
      <c r="L20">
        <f>IF(K20=1,IF(EXACT(F20,"posted"),IF(E20&lt;=Control!$B$2,1,0),0),0)</f>
        <v>0</v>
      </c>
      <c r="M20">
        <f>IF(A20="",0,SUMPRODUCT(EXACT(Rates!$A$2:$A$4,G20)*Rates!$B$2:$B$4))</f>
        <v>1</v>
      </c>
      <c r="N20">
        <f>IF(L20=1,ROUND(ROUND(H20*M20*100,6),0),0)</f>
        <v>0</v>
      </c>
    </row>
    <row r="21">
      <c r="A21" s="4" t="inlineStr">
        <is>
          <t>1</t>
        </is>
      </c>
      <c r="B21" s="4" t="inlineStr">
        <is>
          <t>DRAFT</t>
        </is>
      </c>
      <c r="C21" t="n">
        <v>1</v>
      </c>
      <c r="D21" s="6" t="n">
        <v>46140</v>
      </c>
      <c r="E21" s="6" t="n">
        <v>46140</v>
      </c>
      <c r="F21" t="inlineStr">
        <is>
          <t>draft</t>
        </is>
      </c>
      <c r="G21" t="inlineStr">
        <is>
          <t>EUR</t>
        </is>
      </c>
      <c r="H21" s="9" t="n">
        <v>1000</v>
      </c>
      <c r="I21" t="str">
        <f>IF(A21="","",LEN(A21)&amp;"|"&amp;A21&amp;B21)</f>
        <v>1|1DRAFT</v>
      </c>
      <c r="J21">
        <f>IF(A21="",0,IF(D21&lt;=Control!$B$2,1,0))</f>
        <v>1</v>
      </c>
      <c r="K21">
        <f>IF(J21=1,IF(SUMPRODUCT($J$2:$J$501*EXACT($I$2:$I$501,I21)*($C$2:$C$501&gt;C21))=0,1,0),0)</f>
        <v>1</v>
      </c>
      <c r="L21">
        <f>IF(K21=1,IF(EXACT(F21,"posted"),IF(E21&lt;=Control!$B$2,1,0),0),0)</f>
        <v>0</v>
      </c>
      <c r="M21">
        <f>IF(A21="",0,SUMPRODUCT(EXACT(Rates!$A$2:$A$4,G21)*Rates!$B$2:$B$4))</f>
        <v>1.2</v>
      </c>
      <c r="N21">
        <f>IF(L21=1,ROUND(ROUND(H21*M21*100,6),0),0)</f>
        <v>0</v>
      </c>
    </row>
    <row r="22">
      <c r="A22" s="4" t="inlineStr">
        <is>
          <t>001</t>
        </is>
      </c>
      <c r="B22" s="4" t="inlineStr">
        <is>
          <t>001</t>
        </is>
      </c>
      <c r="C22" t="n">
        <v>1</v>
      </c>
      <c r="D22" s="6" t="n">
        <v>46132</v>
      </c>
      <c r="E22" s="6" t="n">
        <v>46131</v>
      </c>
      <c r="F22" t="inlineStr">
        <is>
          <t>posted</t>
        </is>
      </c>
      <c r="G22" t="inlineStr">
        <is>
          <t>USD</t>
        </is>
      </c>
      <c r="H22" s="9" t="n">
        <v>72</v>
      </c>
      <c r="I22" t="str">
        <f>IF(A22="","",LEN(A22)&amp;"|"&amp;A22&amp;B22)</f>
        <v>3|001001</v>
      </c>
      <c r="J22">
        <f>IF(A22="",0,IF(D22&lt;=Control!$B$2,1,0))</f>
        <v>1</v>
      </c>
      <c r="K22">
        <f>IF(J22=1,IF(SUMPRODUCT($J$2:$J$501*EXACT($I$2:$I$501,I22)*($C$2:$C$501&gt;C22))=0,1,0),0)</f>
        <v>1</v>
      </c>
      <c r="L22">
        <f>IF(K22=1,IF(EXACT(F22,"posted"),IF(E22&lt;=Control!$B$2,1,0),0),0)</f>
        <v>1</v>
      </c>
      <c r="M22">
        <f>IF(A22="",0,SUMPRODUCT(EXACT(Rates!$A$2:$A$4,G22)*Rates!$B$2:$B$4))</f>
        <v>1</v>
      </c>
      <c r="N22">
        <f>IF(L22=1,ROUND(ROUND(H22*M22*100,6),0),0)</f>
        <v>7200</v>
      </c>
    </row>
    <row r="23">
      <c r="A23" s="4" t="inlineStr">
        <is>
          <t>01</t>
        </is>
      </c>
      <c r="B23" s="4" t="inlineStr">
        <is>
          <t>01</t>
        </is>
      </c>
      <c r="C23" t="n">
        <v>1</v>
      </c>
      <c r="D23" s="6" t="n">
        <v>46132</v>
      </c>
      <c r="E23" s="6" t="n">
        <v>46131</v>
      </c>
      <c r="F23" t="inlineStr">
        <is>
          <t>posted</t>
        </is>
      </c>
      <c r="G23" t="inlineStr">
        <is>
          <t>EUR</t>
        </is>
      </c>
      <c r="H23" s="9" t="n">
        <v>60</v>
      </c>
      <c r="I23" t="str">
        <f>IF(A23="","",LEN(A23)&amp;"|"&amp;A23&amp;B23)</f>
        <v>2|0101</v>
      </c>
      <c r="J23">
        <f>IF(A23="",0,IF(D23&lt;=Control!$B$2,1,0))</f>
        <v>1</v>
      </c>
      <c r="K23">
        <f>IF(J23=1,IF(SUMPRODUCT($J$2:$J$501*EXACT($I$2:$I$501,I23)*($C$2:$C$501&gt;C23))=0,1,0),0)</f>
        <v>0</v>
      </c>
      <c r="L23">
        <f>IF(K23=1,IF(EXACT(F23,"posted"),IF(E23&lt;=Control!$B$2,1,0),0),0)</f>
        <v>0</v>
      </c>
      <c r="M23">
        <f>IF(A23="",0,SUMPRODUCT(EXACT(Rates!$A$2:$A$4,G23)*Rates!$B$2:$B$4))</f>
        <v>1.2</v>
      </c>
      <c r="N23">
        <f>IF(L23=1,ROUND(ROUND(H23*M23*100,6),0),0)</f>
        <v>0</v>
      </c>
    </row>
    <row r="24">
      <c r="A24" s="4" t="inlineStr">
        <is>
          <t>01</t>
        </is>
      </c>
      <c r="B24" s="4" t="inlineStr">
        <is>
          <t>01</t>
        </is>
      </c>
      <c r="C24" t="n">
        <v>2</v>
      </c>
      <c r="D24" s="6" t="n">
        <v>46139</v>
      </c>
      <c r="E24" s="6" t="n">
        <v>46138</v>
      </c>
      <c r="F24" t="inlineStr">
        <is>
          <t>void</t>
        </is>
      </c>
      <c r="G24" t="inlineStr">
        <is>
          <t>EUR</t>
        </is>
      </c>
      <c r="H24" s="9" t="n">
        <v>60</v>
      </c>
      <c r="I24" t="str">
        <f>IF(A24="","",LEN(A24)&amp;"|"&amp;A24&amp;B24)</f>
        <v>2|0101</v>
      </c>
      <c r="J24">
        <f>IF(A24="",0,IF(D24&lt;=Control!$B$2,1,0))</f>
        <v>1</v>
      </c>
      <c r="K24">
        <f>IF(J24=1,IF(SUMPRODUCT($J$2:$J$501*EXACT($I$2:$I$501,I24)*($C$2:$C$501&gt;C24))=0,1,0),0)</f>
        <v>1</v>
      </c>
      <c r="L24">
        <f>IF(K24=1,IF(EXACT(F24,"posted"),IF(E24&lt;=Control!$B$2,1,0),0),0)</f>
        <v>0</v>
      </c>
      <c r="M24">
        <f>IF(A24="",0,SUMPRODUCT(EXACT(Rates!$A$2:$A$4,G24)*Rates!$B$2:$B$4))</f>
        <v>1.2</v>
      </c>
      <c r="N24">
        <f>IF(L24=1,ROUND(ROUND(H24*M24*100,6),0),0)</f>
        <v>0</v>
      </c>
    </row>
    <row r="25">
      <c r="A25" s="4" t="inlineStr">
        <is>
          <t>A10</t>
        </is>
      </c>
      <c r="B25" s="4" t="inlineStr">
        <is>
          <t>001</t>
        </is>
      </c>
      <c r="C25" t="n">
        <v>1</v>
      </c>
      <c r="D25" s="6" t="n">
        <v>46132</v>
      </c>
      <c r="E25" s="6" t="n">
        <v>46131</v>
      </c>
      <c r="F25" t="inlineStr">
        <is>
          <t>posted</t>
        </is>
      </c>
      <c r="G25" t="inlineStr">
        <is>
          <t>USD</t>
        </is>
      </c>
      <c r="H25" s="9" t="n">
        <v>96</v>
      </c>
      <c r="I25" t="str">
        <f>IF(A25="","",LEN(A25)&amp;"|"&amp;A25&amp;B25)</f>
        <v>3|A10001</v>
      </c>
      <c r="J25">
        <f>IF(A25="",0,IF(D25&lt;=Control!$B$2,1,0))</f>
        <v>1</v>
      </c>
      <c r="K25">
        <f>IF(J25=1,IF(SUMPRODUCT($J$2:$J$501*EXACT($I$2:$I$501,I25)*($C$2:$C$501&gt;C25))=0,1,0),0)</f>
        <v>1</v>
      </c>
      <c r="L25">
        <f>IF(K25=1,IF(EXACT(F25,"posted"),IF(E25&lt;=Control!$B$2,1,0),0),0)</f>
        <v>1</v>
      </c>
      <c r="M25">
        <f>IF(A25="",0,SUMPRODUCT(EXACT(Rates!$A$2:$A$4,G25)*Rates!$B$2:$B$4))</f>
        <v>1</v>
      </c>
      <c r="N25">
        <f>IF(L25=1,ROUND(ROUND(H25*M25*100,6),0),0)</f>
        <v>9600</v>
      </c>
    </row>
    <row r="26">
      <c r="A26" s="4" t="inlineStr">
        <is>
          <t>010</t>
        </is>
      </c>
      <c r="B26" s="4" t="inlineStr">
        <is>
          <t>1</t>
        </is>
      </c>
      <c r="C26" t="n">
        <v>1</v>
      </c>
      <c r="D26" s="6" t="n">
        <v>46132</v>
      </c>
      <c r="E26" s="6" t="n">
        <v>46131</v>
      </c>
      <c r="F26" t="inlineStr">
        <is>
          <t>posted</t>
        </is>
      </c>
      <c r="G26" t="inlineStr">
        <is>
          <t>GBP</t>
        </is>
      </c>
      <c r="H26" s="9" t="n">
        <v>50</v>
      </c>
      <c r="I26" t="str">
        <f>IF(A26="","",LEN(A26)&amp;"|"&amp;A26&amp;B26)</f>
        <v>3|0101</v>
      </c>
      <c r="J26">
        <f>IF(A26="",0,IF(D26&lt;=Control!$B$2,1,0))</f>
        <v>1</v>
      </c>
      <c r="K26">
        <f>IF(J26=1,IF(SUMPRODUCT($J$2:$J$501*EXACT($I$2:$I$501,I26)*($C$2:$C$501&gt;C26))=0,1,0),0)</f>
        <v>1</v>
      </c>
      <c r="L26">
        <f>IF(K26=1,IF(EXACT(F26,"posted"),IF(E26&lt;=Control!$B$2,1,0),0),0)</f>
        <v>1</v>
      </c>
      <c r="M26">
        <f>IF(A26="",0,SUMPRODUCT(EXACT(Rates!$A$2:$A$4,G26)*Rates!$B$2:$B$4))</f>
        <v>1.35</v>
      </c>
      <c r="N26">
        <f>IF(L26=1,ROUND(ROUND(H26*M26*100,6),0),0)</f>
        <v>6750</v>
      </c>
    </row>
    <row r="27">
      <c r="A27" s="4" t="inlineStr">
        <is>
          <t>A10</t>
        </is>
      </c>
      <c r="B27" s="4" t="inlineStr">
        <is>
          <t>1</t>
        </is>
      </c>
      <c r="C27" t="n">
        <v>1</v>
      </c>
      <c r="D27" s="6" t="n">
        <v>46132</v>
      </c>
      <c r="E27" s="6" t="n">
        <v>46131</v>
      </c>
      <c r="F27" t="inlineStr">
        <is>
          <t>posted</t>
        </is>
      </c>
      <c r="G27" t="inlineStr">
        <is>
          <t>GBP</t>
        </is>
      </c>
      <c r="H27" s="9" t="n">
        <v>32</v>
      </c>
      <c r="I27" t="str">
        <f>IF(A27="","",LEN(A27)&amp;"|"&amp;A27&amp;B27)</f>
        <v>3|A101</v>
      </c>
      <c r="J27">
        <f>IF(A27="",0,IF(D27&lt;=Control!$B$2,1,0))</f>
        <v>1</v>
      </c>
      <c r="K27">
        <f>IF(J27=1,IF(SUMPRODUCT($J$2:$J$501*EXACT($I$2:$I$501,I27)*($C$2:$C$501&gt;C27))=0,1,0),0)</f>
        <v>1</v>
      </c>
      <c r="L27">
        <f>IF(K27=1,IF(EXACT(F27,"posted"),IF(E27&lt;=Control!$B$2,1,0),0),0)</f>
        <v>1</v>
      </c>
      <c r="M27">
        <f>IF(A27="",0,SUMPRODUCT(EXACT(Rates!$A$2:$A$4,G27)*Rates!$B$2:$B$4))</f>
        <v>1.35</v>
      </c>
      <c r="N27">
        <f>IF(L27=1,ROUND(ROUND(H27*M27*100,6),0),0)</f>
        <v>4320</v>
      </c>
    </row>
    <row r="28">
      <c r="A28" s="4" t="inlineStr">
        <is>
          <t>1</t>
        </is>
      </c>
      <c r="B28" s="4" t="inlineStr">
        <is>
          <t>1</t>
        </is>
      </c>
      <c r="C28" t="n">
        <v>1</v>
      </c>
      <c r="D28" s="6" t="n">
        <v>46132</v>
      </c>
      <c r="E28" s="6" t="n">
        <v>46131</v>
      </c>
      <c r="F28" t="inlineStr">
        <is>
          <t>posted</t>
        </is>
      </c>
      <c r="G28" t="inlineStr">
        <is>
          <t>GBP</t>
        </is>
      </c>
      <c r="H28" s="9" t="n">
        <v>16</v>
      </c>
      <c r="I28" t="str">
        <f>IF(A28="","",LEN(A28)&amp;"|"&amp;A28&amp;B28)</f>
        <v>1|11</v>
      </c>
      <c r="J28">
        <f>IF(A28="",0,IF(D28&lt;=Control!$B$2,1,0))</f>
        <v>1</v>
      </c>
      <c r="K28">
        <f>IF(J28=1,IF(SUMPRODUCT($J$2:$J$501*EXACT($I$2:$I$501,I28)*($C$2:$C$501&gt;C28))=0,1,0),0)</f>
        <v>1</v>
      </c>
      <c r="L28">
        <f>IF(K28=1,IF(EXACT(F28,"posted"),IF(E28&lt;=Control!$B$2,1,0),0),0)</f>
        <v>1</v>
      </c>
      <c r="M28">
        <f>IF(A28="",0,SUMPRODUCT(EXACT(Rates!$A$2:$A$4,G28)*Rates!$B$2:$B$4))</f>
        <v>1.35</v>
      </c>
      <c r="N28">
        <f>IF(L28=1,ROUND(ROUND(H28*M28*100,6),0),0)</f>
        <v>2160</v>
      </c>
    </row>
    <row r="29">
      <c r="A29" s="4" t="inlineStr">
        <is>
          <t>R&amp;D</t>
        </is>
      </c>
      <c r="B29" s="4" t="inlineStr">
        <is>
          <t>CN</t>
        </is>
      </c>
      <c r="C29" t="n">
        <v>1</v>
      </c>
      <c r="D29" s="6" t="n">
        <v>46142</v>
      </c>
      <c r="E29" s="6" t="n">
        <v>46141</v>
      </c>
      <c r="F29" t="inlineStr">
        <is>
          <t>posted</t>
        </is>
      </c>
      <c r="G29" t="inlineStr">
        <is>
          <t>USD</t>
        </is>
      </c>
      <c r="H29" s="9" t="n">
        <v>-10.005</v>
      </c>
      <c r="I29" t="str">
        <f>IF(A29="","",LEN(A29)&amp;"|"&amp;A29&amp;B29)</f>
        <v>3|R&amp;DCN</v>
      </c>
      <c r="J29">
        <f>IF(A29="",0,IF(D29&lt;=Control!$B$2,1,0))</f>
        <v>1</v>
      </c>
      <c r="K29">
        <f>IF(J29=1,IF(SUMPRODUCT($J$2:$J$501*EXACT($I$2:$I$501,I29)*($C$2:$C$501&gt;C29))=0,1,0),0)</f>
        <v>1</v>
      </c>
      <c r="L29">
        <f>IF(K29=1,IF(EXACT(F29,"posted"),IF(E29&lt;=Control!$B$2,1,0),0),0)</f>
        <v>1</v>
      </c>
      <c r="M29">
        <f>IF(A29="",0,SUMPRODUCT(EXACT(Rates!$A$2:$A$4,G29)*Rates!$B$2:$B$4))</f>
        <v>1</v>
      </c>
      <c r="N29">
        <f>IF(L29=1,ROUND(ROUND(H29*M29*100,6),0),0)</f>
        <v>-1001</v>
      </c>
    </row>
    <row r="30">
      <c r="A30" s="4" t="inlineStr">
        <is>
          <t>A2</t>
        </is>
      </c>
      <c r="B30" s="4" t="inlineStr">
        <is>
          <t>001</t>
        </is>
      </c>
      <c r="C30" t="n">
        <v>2</v>
      </c>
      <c r="D30" s="6" t="n">
        <v>46140</v>
      </c>
      <c r="E30" s="6" t="n">
        <v>46140</v>
      </c>
      <c r="F30" t="inlineStr">
        <is>
          <t>posted</t>
        </is>
      </c>
      <c r="G30" t="inlineStr">
        <is>
          <t>USD</t>
        </is>
      </c>
      <c r="H30" s="9" t="n">
        <v>90</v>
      </c>
      <c r="I30" t="str">
        <f>IF(A30="","",LEN(A30)&amp;"|"&amp;A30&amp;B30)</f>
        <v>2|A2001</v>
      </c>
      <c r="J30">
        <f>IF(A30="",0,IF(D30&lt;=Control!$B$2,1,0))</f>
        <v>1</v>
      </c>
      <c r="K30">
        <f>IF(J30=1,IF(SUMPRODUCT($J$2:$J$501*EXACT($I$2:$I$501,I30)*($C$2:$C$501&gt;C30))=0,1,0),0)</f>
        <v>1</v>
      </c>
      <c r="L30">
        <f>IF(K30=1,IF(EXACT(F30,"posted"),IF(E30&lt;=Control!$B$2,1,0),0),0)</f>
        <v>1</v>
      </c>
      <c r="M30">
        <f>IF(A30="",0,SUMPRODUCT(EXACT(Rates!$A$2:$A$4,G30)*Rates!$B$2:$B$4))</f>
        <v>1</v>
      </c>
      <c r="N30">
        <f>IF(L30=1,ROUND(ROUND(H30*M30*100,6),0),0)</f>
        <v>9000</v>
      </c>
    </row>
    <row r="31">
      <c r="A31" s="4" t="inlineStr">
        <is>
          <t>A2</t>
        </is>
      </c>
      <c r="B31" s="4" t="inlineStr">
        <is>
          <t>01</t>
        </is>
      </c>
      <c r="C31" t="n">
        <v>1</v>
      </c>
      <c r="D31" s="6" t="n">
        <v>46132</v>
      </c>
      <c r="E31" s="6" t="n">
        <v>46131</v>
      </c>
      <c r="F31" t="inlineStr">
        <is>
          <t>posted</t>
        </is>
      </c>
      <c r="G31" t="inlineStr">
        <is>
          <t>EUR</t>
        </is>
      </c>
      <c r="H31" s="9" t="n">
        <v>40</v>
      </c>
      <c r="I31" t="str">
        <f>IF(A31="","",LEN(A31)&amp;"|"&amp;A31&amp;B31)</f>
        <v>2|A201</v>
      </c>
      <c r="J31">
        <f>IF(A31="",0,IF(D31&lt;=Control!$B$2,1,0))</f>
        <v>1</v>
      </c>
      <c r="K31">
        <f>IF(J31=1,IF(SUMPRODUCT($J$2:$J$501*EXACT($I$2:$I$501,I31)*($C$2:$C$501&gt;C31))=0,1,0),0)</f>
        <v>1</v>
      </c>
      <c r="L31">
        <f>IF(K31=1,IF(EXACT(F31,"posted"),IF(E31&lt;=Control!$B$2,1,0),0),0)</f>
        <v>1</v>
      </c>
      <c r="M31">
        <f>IF(A31="",0,SUMPRODUCT(EXACT(Rates!$A$2:$A$4,G31)*Rates!$B$2:$B$4))</f>
        <v>1.2</v>
      </c>
      <c r="N31">
        <f>IF(L31=1,ROUND(ROUND(H31*M31*100,6),0),0)</f>
        <v>4800</v>
      </c>
    </row>
    <row r="32">
      <c r="I32" t="str">
        <f>IF(A32="","",LEN(A32)&amp;"|"&amp;A32&amp;B32)</f>
        <v/>
      </c>
      <c r="J32">
        <f>IF(A32="",0,IF(D32&lt;=Control!$B$2,1,0))</f>
        <v>0</v>
      </c>
      <c r="K32">
        <f>IF(J32=1,IF(SUMPRODUCT($J$2:$J$501*EXACT($I$2:$I$501,I32)*($C$2:$C$501&gt;C32))=0,1,0),0)</f>
        <v>0</v>
      </c>
      <c r="L32">
        <f>IF(K32=1,IF(EXACT(F32,"posted"),IF(E32&lt;=Control!$B$2,1,0),0),0)</f>
        <v>0</v>
      </c>
      <c r="M32">
        <f>IF(A32="",0,SUMPRODUCT(EXACT(Rates!$A$2:$A$4,G32)*Rates!$B$2:$B$4))</f>
        <v>0</v>
      </c>
      <c r="N32">
        <f>IF(L32=1,ROUND(ROUND(H32*M32*100,6),0),0)</f>
        <v>0</v>
      </c>
    </row>
    <row r="33">
      <c r="I33" t="str">
        <f>IF(A33="","",LEN(A33)&amp;"|"&amp;A33&amp;B33)</f>
        <v/>
      </c>
      <c r="J33">
        <f>IF(A33="",0,IF(D33&lt;=Control!$B$2,1,0))</f>
        <v>0</v>
      </c>
      <c r="K33">
        <f>IF(J33=1,IF(SUMPRODUCT($J$2:$J$501*EXACT($I$2:$I$501,I33)*($C$2:$C$501&gt;C33))=0,1,0),0)</f>
        <v>0</v>
      </c>
      <c r="L33">
        <f>IF(K33=1,IF(EXACT(F33,"posted"),IF(E33&lt;=Control!$B$2,1,0),0),0)</f>
        <v>0</v>
      </c>
      <c r="M33">
        <f>IF(A33="",0,SUMPRODUCT(EXACT(Rates!$A$2:$A$4,G33)*Rates!$B$2:$B$4))</f>
        <v>0</v>
      </c>
      <c r="N33">
        <f>IF(L33=1,ROUND(ROUND(H33*M33*100,6),0),0)</f>
        <v>0</v>
      </c>
    </row>
    <row r="34">
      <c r="I34" t="str">
        <f>IF(A34="","",LEN(A34)&amp;"|"&amp;A34&amp;B34)</f>
        <v/>
      </c>
      <c r="J34">
        <f>IF(A34="",0,IF(D34&lt;=Control!$B$2,1,0))</f>
        <v>0</v>
      </c>
      <c r="K34">
        <f>IF(J34=1,IF(SUMPRODUCT($J$2:$J$501*EXACT($I$2:$I$501,I34)*($C$2:$C$501&gt;C34))=0,1,0),0)</f>
        <v>0</v>
      </c>
      <c r="L34">
        <f>IF(K34=1,IF(EXACT(F34,"posted"),IF(E34&lt;=Control!$B$2,1,0),0),0)</f>
        <v>0</v>
      </c>
      <c r="M34">
        <f>IF(A34="",0,SUMPRODUCT(EXACT(Rates!$A$2:$A$4,G34)*Rates!$B$2:$B$4))</f>
        <v>0</v>
      </c>
      <c r="N34">
        <f>IF(L34=1,ROUND(ROUND(H34*M34*100,6),0),0)</f>
        <v>0</v>
      </c>
    </row>
    <row r="35">
      <c r="I35" t="str">
        <f>IF(A35="","",LEN(A35)&amp;"|"&amp;A35&amp;B35)</f>
        <v/>
      </c>
      <c r="J35">
        <f>IF(A35="",0,IF(D35&lt;=Control!$B$2,1,0))</f>
        <v>0</v>
      </c>
      <c r="K35">
        <f>IF(J35=1,IF(SUMPRODUCT($J$2:$J$501*EXACT($I$2:$I$501,I35)*($C$2:$C$501&gt;C35))=0,1,0),0)</f>
        <v>0</v>
      </c>
      <c r="L35">
        <f>IF(K35=1,IF(EXACT(F35,"posted"),IF(E35&lt;=Control!$B$2,1,0),0),0)</f>
        <v>0</v>
      </c>
      <c r="M35">
        <f>IF(A35="",0,SUMPRODUCT(EXACT(Rates!$A$2:$A$4,G35)*Rates!$B$2:$B$4))</f>
        <v>0</v>
      </c>
      <c r="N35">
        <f>IF(L35=1,ROUND(ROUND(H35*M35*100,6),0),0)</f>
        <v>0</v>
      </c>
    </row>
    <row r="36">
      <c r="I36" t="str">
        <f>IF(A36="","",LEN(A36)&amp;"|"&amp;A36&amp;B36)</f>
        <v/>
      </c>
      <c r="J36">
        <f>IF(A36="",0,IF(D36&lt;=Control!$B$2,1,0))</f>
        <v>0</v>
      </c>
      <c r="K36">
        <f>IF(J36=1,IF(SUMPRODUCT($J$2:$J$501*EXACT($I$2:$I$501,I36)*($C$2:$C$501&gt;C36))=0,1,0),0)</f>
        <v>0</v>
      </c>
      <c r="L36">
        <f>IF(K36=1,IF(EXACT(F36,"posted"),IF(E36&lt;=Control!$B$2,1,0),0),0)</f>
        <v>0</v>
      </c>
      <c r="M36">
        <f>IF(A36="",0,SUMPRODUCT(EXACT(Rates!$A$2:$A$4,G36)*Rates!$B$2:$B$4))</f>
        <v>0</v>
      </c>
      <c r="N36">
        <f>IF(L36=1,ROUND(ROUND(H36*M36*100,6),0),0)</f>
        <v>0</v>
      </c>
    </row>
    <row r="37">
      <c r="I37" t="str">
        <f>IF(A37="","",LEN(A37)&amp;"|"&amp;A37&amp;B37)</f>
        <v/>
      </c>
      <c r="J37">
        <f>IF(A37="",0,IF(D37&lt;=Control!$B$2,1,0))</f>
        <v>0</v>
      </c>
      <c r="K37">
        <f>IF(J37=1,IF(SUMPRODUCT($J$2:$J$501*EXACT($I$2:$I$501,I37)*($C$2:$C$501&gt;C37))=0,1,0),0)</f>
        <v>0</v>
      </c>
      <c r="L37">
        <f>IF(K37=1,IF(EXACT(F37,"posted"),IF(E37&lt;=Control!$B$2,1,0),0),0)</f>
        <v>0</v>
      </c>
      <c r="M37">
        <f>IF(A37="",0,SUMPRODUCT(EXACT(Rates!$A$2:$A$4,G37)*Rates!$B$2:$B$4))</f>
        <v>0</v>
      </c>
      <c r="N37">
        <f>IF(L37=1,ROUND(ROUND(H37*M37*100,6),0),0)</f>
        <v>0</v>
      </c>
    </row>
    <row r="38">
      <c r="I38" t="str">
        <f>IF(A38="","",LEN(A38)&amp;"|"&amp;A38&amp;B38)</f>
        <v/>
      </c>
      <c r="J38">
        <f>IF(A38="",0,IF(D38&lt;=Control!$B$2,1,0))</f>
        <v>0</v>
      </c>
      <c r="K38">
        <f>IF(J38=1,IF(SUMPRODUCT($J$2:$J$501*EXACT($I$2:$I$501,I38)*($C$2:$C$501&gt;C38))=0,1,0),0)</f>
        <v>0</v>
      </c>
      <c r="L38">
        <f>IF(K38=1,IF(EXACT(F38,"posted"),IF(E38&lt;=Control!$B$2,1,0),0),0)</f>
        <v>0</v>
      </c>
      <c r="M38">
        <f>IF(A38="",0,SUMPRODUCT(EXACT(Rates!$A$2:$A$4,G38)*Rates!$B$2:$B$4))</f>
        <v>0</v>
      </c>
      <c r="N38">
        <f>IF(L38=1,ROUND(ROUND(H38*M38*100,6),0),0)</f>
        <v>0</v>
      </c>
    </row>
    <row r="39">
      <c r="I39" t="str">
        <f>IF(A39="","",LEN(A39)&amp;"|"&amp;A39&amp;B39)</f>
        <v/>
      </c>
      <c r="J39">
        <f>IF(A39="",0,IF(D39&lt;=Control!$B$2,1,0))</f>
        <v>0</v>
      </c>
      <c r="K39">
        <f>IF(J39=1,IF(SUMPRODUCT($J$2:$J$501*EXACT($I$2:$I$501,I39)*($C$2:$C$501&gt;C39))=0,1,0),0)</f>
        <v>0</v>
      </c>
      <c r="L39">
        <f>IF(K39=1,IF(EXACT(F39,"posted"),IF(E39&lt;=Control!$B$2,1,0),0),0)</f>
        <v>0</v>
      </c>
      <c r="M39">
        <f>IF(A39="",0,SUMPRODUCT(EXACT(Rates!$A$2:$A$4,G39)*Rates!$B$2:$B$4))</f>
        <v>0</v>
      </c>
      <c r="N39">
        <f>IF(L39=1,ROUND(ROUND(H39*M39*100,6),0),0)</f>
        <v>0</v>
      </c>
    </row>
    <row r="40">
      <c r="I40" t="str">
        <f>IF(A40="","",LEN(A40)&amp;"|"&amp;A40&amp;B40)</f>
        <v/>
      </c>
      <c r="J40">
        <f>IF(A40="",0,IF(D40&lt;=Control!$B$2,1,0))</f>
        <v>0</v>
      </c>
      <c r="K40">
        <f>IF(J40=1,IF(SUMPRODUCT($J$2:$J$501*EXACT($I$2:$I$501,I40)*($C$2:$C$501&gt;C40))=0,1,0),0)</f>
        <v>0</v>
      </c>
      <c r="L40">
        <f>IF(K40=1,IF(EXACT(F40,"posted"),IF(E40&lt;=Control!$B$2,1,0),0),0)</f>
        <v>0</v>
      </c>
      <c r="M40">
        <f>IF(A40="",0,SUMPRODUCT(EXACT(Rates!$A$2:$A$4,G40)*Rates!$B$2:$B$4))</f>
        <v>0</v>
      </c>
      <c r="N40">
        <f>IF(L40=1,ROUND(ROUND(H40*M40*100,6),0),0)</f>
        <v>0</v>
      </c>
    </row>
    <row r="41">
      <c r="I41" t="str">
        <f>IF(A41="","",LEN(A41)&amp;"|"&amp;A41&amp;B41)</f>
        <v/>
      </c>
      <c r="J41">
        <f>IF(A41="",0,IF(D41&lt;=Control!$B$2,1,0))</f>
        <v>0</v>
      </c>
      <c r="K41">
        <f>IF(J41=1,IF(SUMPRODUCT($J$2:$J$501*EXACT($I$2:$I$501,I41)*($C$2:$C$501&gt;C41))=0,1,0),0)</f>
        <v>0</v>
      </c>
      <c r="L41">
        <f>IF(K41=1,IF(EXACT(F41,"posted"),IF(E41&lt;=Control!$B$2,1,0),0),0)</f>
        <v>0</v>
      </c>
      <c r="M41">
        <f>IF(A41="",0,SUMPRODUCT(EXACT(Rates!$A$2:$A$4,G41)*Rates!$B$2:$B$4))</f>
        <v>0</v>
      </c>
      <c r="N41">
        <f>IF(L41=1,ROUND(ROUND(H41*M41*100,6),0),0)</f>
        <v>0</v>
      </c>
    </row>
    <row r="42">
      <c r="I42" t="str">
        <f>IF(A42="","",LEN(A42)&amp;"|"&amp;A42&amp;B42)</f>
        <v/>
      </c>
      <c r="J42">
        <f>IF(A42="",0,IF(D42&lt;=Control!$B$2,1,0))</f>
        <v>0</v>
      </c>
      <c r="K42">
        <f>IF(J42=1,IF(SUMPRODUCT($J$2:$J$501*EXACT($I$2:$I$501,I42)*($C$2:$C$501&gt;C42))=0,1,0),0)</f>
        <v>0</v>
      </c>
      <c r="L42">
        <f>IF(K42=1,IF(EXACT(F42,"posted"),IF(E42&lt;=Control!$B$2,1,0),0),0)</f>
        <v>0</v>
      </c>
      <c r="M42">
        <f>IF(A42="",0,SUMPRODUCT(EXACT(Rates!$A$2:$A$4,G42)*Rates!$B$2:$B$4))</f>
        <v>0</v>
      </c>
      <c r="N42">
        <f>IF(L42=1,ROUND(ROUND(H42*M42*100,6),0),0)</f>
        <v>0</v>
      </c>
    </row>
    <row r="43">
      <c r="I43" t="str">
        <f>IF(A43="","",LEN(A43)&amp;"|"&amp;A43&amp;B43)</f>
        <v/>
      </c>
      <c r="J43">
        <f>IF(A43="",0,IF(D43&lt;=Control!$B$2,1,0))</f>
        <v>0</v>
      </c>
      <c r="K43">
        <f>IF(J43=1,IF(SUMPRODUCT($J$2:$J$501*EXACT($I$2:$I$501,I43)*($C$2:$C$501&gt;C43))=0,1,0),0)</f>
        <v>0</v>
      </c>
      <c r="L43">
        <f>IF(K43=1,IF(EXACT(F43,"posted"),IF(E43&lt;=Control!$B$2,1,0),0),0)</f>
        <v>0</v>
      </c>
      <c r="M43">
        <f>IF(A43="",0,SUMPRODUCT(EXACT(Rates!$A$2:$A$4,G43)*Rates!$B$2:$B$4))</f>
        <v>0</v>
      </c>
      <c r="N43">
        <f>IF(L43=1,ROUND(ROUND(H43*M43*100,6),0),0)</f>
        <v>0</v>
      </c>
    </row>
    <row r="44">
      <c r="I44" t="str">
        <f>IF(A44="","",LEN(A44)&amp;"|"&amp;A44&amp;B44)</f>
        <v/>
      </c>
      <c r="J44">
        <f>IF(A44="",0,IF(D44&lt;=Control!$B$2,1,0))</f>
        <v>0</v>
      </c>
      <c r="K44">
        <f>IF(J44=1,IF(SUMPRODUCT($J$2:$J$501*EXACT($I$2:$I$501,I44)*($C$2:$C$501&gt;C44))=0,1,0),0)</f>
        <v>0</v>
      </c>
      <c r="L44">
        <f>IF(K44=1,IF(EXACT(F44,"posted"),IF(E44&lt;=Control!$B$2,1,0),0),0)</f>
        <v>0</v>
      </c>
      <c r="M44">
        <f>IF(A44="",0,SUMPRODUCT(EXACT(Rates!$A$2:$A$4,G44)*Rates!$B$2:$B$4))</f>
        <v>0</v>
      </c>
      <c r="N44">
        <f>IF(L44=1,ROUND(ROUND(H44*M44*100,6),0),0)</f>
        <v>0</v>
      </c>
    </row>
    <row r="45">
      <c r="I45" t="str">
        <f>IF(A45="","",LEN(A45)&amp;"|"&amp;A45&amp;B45)</f>
        <v/>
      </c>
      <c r="J45">
        <f>IF(A45="",0,IF(D45&lt;=Control!$B$2,1,0))</f>
        <v>0</v>
      </c>
      <c r="K45">
        <f>IF(J45=1,IF(SUMPRODUCT($J$2:$J$501*EXACT($I$2:$I$501,I45)*($C$2:$C$501&gt;C45))=0,1,0),0)</f>
        <v>0</v>
      </c>
      <c r="L45">
        <f>IF(K45=1,IF(EXACT(F45,"posted"),IF(E45&lt;=Control!$B$2,1,0),0),0)</f>
        <v>0</v>
      </c>
      <c r="M45">
        <f>IF(A45="",0,SUMPRODUCT(EXACT(Rates!$A$2:$A$4,G45)*Rates!$B$2:$B$4))</f>
        <v>0</v>
      </c>
      <c r="N45">
        <f>IF(L45=1,ROUND(ROUND(H45*M45*100,6),0),0)</f>
        <v>0</v>
      </c>
    </row>
    <row r="46">
      <c r="I46" t="str">
        <f>IF(A46="","",LEN(A46)&amp;"|"&amp;A46&amp;B46)</f>
        <v/>
      </c>
      <c r="J46">
        <f>IF(A46="",0,IF(D46&lt;=Control!$B$2,1,0))</f>
        <v>0</v>
      </c>
      <c r="K46">
        <f>IF(J46=1,IF(SUMPRODUCT($J$2:$J$501*EXACT($I$2:$I$501,I46)*($C$2:$C$501&gt;C46))=0,1,0),0)</f>
        <v>0</v>
      </c>
      <c r="L46">
        <f>IF(K46=1,IF(EXACT(F46,"posted"),IF(E46&lt;=Control!$B$2,1,0),0),0)</f>
        <v>0</v>
      </c>
      <c r="M46">
        <f>IF(A46="",0,SUMPRODUCT(EXACT(Rates!$A$2:$A$4,G46)*Rates!$B$2:$B$4))</f>
        <v>0</v>
      </c>
      <c r="N46">
        <f>IF(L46=1,ROUND(ROUND(H46*M46*100,6),0),0)</f>
        <v>0</v>
      </c>
    </row>
    <row r="47">
      <c r="I47" t="str">
        <f>IF(A47="","",LEN(A47)&amp;"|"&amp;A47&amp;B47)</f>
        <v/>
      </c>
      <c r="J47">
        <f>IF(A47="",0,IF(D47&lt;=Control!$B$2,1,0))</f>
        <v>0</v>
      </c>
      <c r="K47">
        <f>IF(J47=1,IF(SUMPRODUCT($J$2:$J$501*EXACT($I$2:$I$501,I47)*($C$2:$C$501&gt;C47))=0,1,0),0)</f>
        <v>0</v>
      </c>
      <c r="L47">
        <f>IF(K47=1,IF(EXACT(F47,"posted"),IF(E47&lt;=Control!$B$2,1,0),0),0)</f>
        <v>0</v>
      </c>
      <c r="M47">
        <f>IF(A47="",0,SUMPRODUCT(EXACT(Rates!$A$2:$A$4,G47)*Rates!$B$2:$B$4))</f>
        <v>0</v>
      </c>
      <c r="N47">
        <f>IF(L47=1,ROUND(ROUND(H47*M47*100,6),0),0)</f>
        <v>0</v>
      </c>
    </row>
    <row r="48">
      <c r="I48" t="str">
        <f>IF(A48="","",LEN(A48)&amp;"|"&amp;A48&amp;B48)</f>
        <v/>
      </c>
      <c r="J48">
        <f>IF(A48="",0,IF(D48&lt;=Control!$B$2,1,0))</f>
        <v>0</v>
      </c>
      <c r="K48">
        <f>IF(J48=1,IF(SUMPRODUCT($J$2:$J$501*EXACT($I$2:$I$501,I48)*($C$2:$C$501&gt;C48))=0,1,0),0)</f>
        <v>0</v>
      </c>
      <c r="L48">
        <f>IF(K48=1,IF(EXACT(F48,"posted"),IF(E48&lt;=Control!$B$2,1,0),0),0)</f>
        <v>0</v>
      </c>
      <c r="M48">
        <f>IF(A48="",0,SUMPRODUCT(EXACT(Rates!$A$2:$A$4,G48)*Rates!$B$2:$B$4))</f>
        <v>0</v>
      </c>
      <c r="N48">
        <f>IF(L48=1,ROUND(ROUND(H48*M48*100,6),0),0)</f>
        <v>0</v>
      </c>
    </row>
    <row r="49">
      <c r="I49" t="str">
        <f>IF(A49="","",LEN(A49)&amp;"|"&amp;A49&amp;B49)</f>
        <v/>
      </c>
      <c r="J49">
        <f>IF(A49="",0,IF(D49&lt;=Control!$B$2,1,0))</f>
        <v>0</v>
      </c>
      <c r="K49">
        <f>IF(J49=1,IF(SUMPRODUCT($J$2:$J$501*EXACT($I$2:$I$501,I49)*($C$2:$C$501&gt;C49))=0,1,0),0)</f>
        <v>0</v>
      </c>
      <c r="L49">
        <f>IF(K49=1,IF(EXACT(F49,"posted"),IF(E49&lt;=Control!$B$2,1,0),0),0)</f>
        <v>0</v>
      </c>
      <c r="M49">
        <f>IF(A49="",0,SUMPRODUCT(EXACT(Rates!$A$2:$A$4,G49)*Rates!$B$2:$B$4))</f>
        <v>0</v>
      </c>
      <c r="N49">
        <f>IF(L49=1,ROUND(ROUND(H49*M49*100,6),0),0)</f>
        <v>0</v>
      </c>
    </row>
    <row r="50">
      <c r="I50" t="str">
        <f>IF(A50="","",LEN(A50)&amp;"|"&amp;A50&amp;B50)</f>
        <v/>
      </c>
      <c r="J50">
        <f>IF(A50="",0,IF(D50&lt;=Control!$B$2,1,0))</f>
        <v>0</v>
      </c>
      <c r="K50">
        <f>IF(J50=1,IF(SUMPRODUCT($J$2:$J$501*EXACT($I$2:$I$501,I50)*($C$2:$C$501&gt;C50))=0,1,0),0)</f>
        <v>0</v>
      </c>
      <c r="L50">
        <f>IF(K50=1,IF(EXACT(F50,"posted"),IF(E50&lt;=Control!$B$2,1,0),0),0)</f>
        <v>0</v>
      </c>
      <c r="M50">
        <f>IF(A50="",0,SUMPRODUCT(EXACT(Rates!$A$2:$A$4,G50)*Rates!$B$2:$B$4))</f>
        <v>0</v>
      </c>
      <c r="N50">
        <f>IF(L50=1,ROUND(ROUND(H50*M50*100,6),0),0)</f>
        <v>0</v>
      </c>
    </row>
    <row r="51">
      <c r="I51" t="str">
        <f>IF(A51="","",LEN(A51)&amp;"|"&amp;A51&amp;B51)</f>
        <v/>
      </c>
      <c r="J51">
        <f>IF(A51="",0,IF(D51&lt;=Control!$B$2,1,0))</f>
        <v>0</v>
      </c>
      <c r="K51">
        <f>IF(J51=1,IF(SUMPRODUCT($J$2:$J$501*EXACT($I$2:$I$501,I51)*($C$2:$C$501&gt;C51))=0,1,0),0)</f>
        <v>0</v>
      </c>
      <c r="L51">
        <f>IF(K51=1,IF(EXACT(F51,"posted"),IF(E51&lt;=Control!$B$2,1,0),0),0)</f>
        <v>0</v>
      </c>
      <c r="M51">
        <f>IF(A51="",0,SUMPRODUCT(EXACT(Rates!$A$2:$A$4,G51)*Rates!$B$2:$B$4))</f>
        <v>0</v>
      </c>
      <c r="N51">
        <f>IF(L51=1,ROUND(ROUND(H51*M51*100,6),0),0)</f>
        <v>0</v>
      </c>
    </row>
    <row r="52">
      <c r="I52" t="str">
        <f>IF(A52="","",LEN(A52)&amp;"|"&amp;A52&amp;B52)</f>
        <v/>
      </c>
      <c r="J52">
        <f>IF(A52="",0,IF(D52&lt;=Control!$B$2,1,0))</f>
        <v>0</v>
      </c>
      <c r="K52">
        <f>IF(J52=1,IF(SUMPRODUCT($J$2:$J$501*EXACT($I$2:$I$501,I52)*($C$2:$C$501&gt;C52))=0,1,0),0)</f>
        <v>0</v>
      </c>
      <c r="L52">
        <f>IF(K52=1,IF(EXACT(F52,"posted"),IF(E52&lt;=Control!$B$2,1,0),0),0)</f>
        <v>0</v>
      </c>
      <c r="M52">
        <f>IF(A52="",0,SUMPRODUCT(EXACT(Rates!$A$2:$A$4,G52)*Rates!$B$2:$B$4))</f>
        <v>0</v>
      </c>
      <c r="N52">
        <f>IF(L52=1,ROUND(ROUND(H52*M52*100,6),0),0)</f>
        <v>0</v>
      </c>
    </row>
    <row r="53">
      <c r="I53" t="str">
        <f>IF(A53="","",LEN(A53)&amp;"|"&amp;A53&amp;B53)</f>
        <v/>
      </c>
      <c r="J53">
        <f>IF(A53="",0,IF(D53&lt;=Control!$B$2,1,0))</f>
        <v>0</v>
      </c>
      <c r="K53">
        <f>IF(J53=1,IF(SUMPRODUCT($J$2:$J$501*EXACT($I$2:$I$501,I53)*($C$2:$C$501&gt;C53))=0,1,0),0)</f>
        <v>0</v>
      </c>
      <c r="L53">
        <f>IF(K53=1,IF(EXACT(F53,"posted"),IF(E53&lt;=Control!$B$2,1,0),0),0)</f>
        <v>0</v>
      </c>
      <c r="M53">
        <f>IF(A53="",0,SUMPRODUCT(EXACT(Rates!$A$2:$A$4,G53)*Rates!$B$2:$B$4))</f>
        <v>0</v>
      </c>
      <c r="N53">
        <f>IF(L53=1,ROUND(ROUND(H53*M53*100,6),0),0)</f>
        <v>0</v>
      </c>
    </row>
    <row r="54">
      <c r="I54" t="str">
        <f>IF(A54="","",LEN(A54)&amp;"|"&amp;A54&amp;B54)</f>
        <v/>
      </c>
      <c r="J54">
        <f>IF(A54="",0,IF(D54&lt;=Control!$B$2,1,0))</f>
        <v>0</v>
      </c>
      <c r="K54">
        <f>IF(J54=1,IF(SUMPRODUCT($J$2:$J$501*EXACT($I$2:$I$501,I54)*($C$2:$C$501&gt;C54))=0,1,0),0)</f>
        <v>0</v>
      </c>
      <c r="L54">
        <f>IF(K54=1,IF(EXACT(F54,"posted"),IF(E54&lt;=Control!$B$2,1,0),0),0)</f>
        <v>0</v>
      </c>
      <c r="M54">
        <f>IF(A54="",0,SUMPRODUCT(EXACT(Rates!$A$2:$A$4,G54)*Rates!$B$2:$B$4))</f>
        <v>0</v>
      </c>
      <c r="N54">
        <f>IF(L54=1,ROUND(ROUND(H54*M54*100,6),0),0)</f>
        <v>0</v>
      </c>
    </row>
    <row r="55">
      <c r="I55" t="str">
        <f>IF(A55="","",LEN(A55)&amp;"|"&amp;A55&amp;B55)</f>
        <v/>
      </c>
      <c r="J55">
        <f>IF(A55="",0,IF(D55&lt;=Control!$B$2,1,0))</f>
        <v>0</v>
      </c>
      <c r="K55">
        <f>IF(J55=1,IF(SUMPRODUCT($J$2:$J$501*EXACT($I$2:$I$501,I55)*($C$2:$C$501&gt;C55))=0,1,0),0)</f>
        <v>0</v>
      </c>
      <c r="L55">
        <f>IF(K55=1,IF(EXACT(F55,"posted"),IF(E55&lt;=Control!$B$2,1,0),0),0)</f>
        <v>0</v>
      </c>
      <c r="M55">
        <f>IF(A55="",0,SUMPRODUCT(EXACT(Rates!$A$2:$A$4,G55)*Rates!$B$2:$B$4))</f>
        <v>0</v>
      </c>
      <c r="N55">
        <f>IF(L55=1,ROUND(ROUND(H55*M55*100,6),0),0)</f>
        <v>0</v>
      </c>
    </row>
    <row r="56">
      <c r="I56" t="str">
        <f>IF(A56="","",LEN(A56)&amp;"|"&amp;A56&amp;B56)</f>
        <v/>
      </c>
      <c r="J56">
        <f>IF(A56="",0,IF(D56&lt;=Control!$B$2,1,0))</f>
        <v>0</v>
      </c>
      <c r="K56">
        <f>IF(J56=1,IF(SUMPRODUCT($J$2:$J$501*EXACT($I$2:$I$501,I56)*($C$2:$C$501&gt;C56))=0,1,0),0)</f>
        <v>0</v>
      </c>
      <c r="L56">
        <f>IF(K56=1,IF(EXACT(F56,"posted"),IF(E56&lt;=Control!$B$2,1,0),0),0)</f>
        <v>0</v>
      </c>
      <c r="M56">
        <f>IF(A56="",0,SUMPRODUCT(EXACT(Rates!$A$2:$A$4,G56)*Rates!$B$2:$B$4))</f>
        <v>0</v>
      </c>
      <c r="N56">
        <f>IF(L56=1,ROUND(ROUND(H56*M56*100,6),0),0)</f>
        <v>0</v>
      </c>
    </row>
    <row r="57">
      <c r="I57" t="str">
        <f>IF(A57="","",LEN(A57)&amp;"|"&amp;A57&amp;B57)</f>
        <v/>
      </c>
      <c r="J57">
        <f>IF(A57="",0,IF(D57&lt;=Control!$B$2,1,0))</f>
        <v>0</v>
      </c>
      <c r="K57">
        <f>IF(J57=1,IF(SUMPRODUCT($J$2:$J$501*EXACT($I$2:$I$501,I57)*($C$2:$C$501&gt;C57))=0,1,0),0)</f>
        <v>0</v>
      </c>
      <c r="L57">
        <f>IF(K57=1,IF(EXACT(F57,"posted"),IF(E57&lt;=Control!$B$2,1,0),0),0)</f>
        <v>0</v>
      </c>
      <c r="M57">
        <f>IF(A57="",0,SUMPRODUCT(EXACT(Rates!$A$2:$A$4,G57)*Rates!$B$2:$B$4))</f>
        <v>0</v>
      </c>
      <c r="N57">
        <f>IF(L57=1,ROUND(ROUND(H57*M57*100,6),0),0)</f>
        <v>0</v>
      </c>
    </row>
    <row r="58">
      <c r="I58" t="str">
        <f>IF(A58="","",LEN(A58)&amp;"|"&amp;A58&amp;B58)</f>
        <v/>
      </c>
      <c r="J58">
        <f>IF(A58="",0,IF(D58&lt;=Control!$B$2,1,0))</f>
        <v>0</v>
      </c>
      <c r="K58">
        <f>IF(J58=1,IF(SUMPRODUCT($J$2:$J$501*EXACT($I$2:$I$501,I58)*($C$2:$C$501&gt;C58))=0,1,0),0)</f>
        <v>0</v>
      </c>
      <c r="L58">
        <f>IF(K58=1,IF(EXACT(F58,"posted"),IF(E58&lt;=Control!$B$2,1,0),0),0)</f>
        <v>0</v>
      </c>
      <c r="M58">
        <f>IF(A58="",0,SUMPRODUCT(EXACT(Rates!$A$2:$A$4,G58)*Rates!$B$2:$B$4))</f>
        <v>0</v>
      </c>
      <c r="N58">
        <f>IF(L58=1,ROUND(ROUND(H58*M58*100,6),0),0)</f>
        <v>0</v>
      </c>
    </row>
    <row r="59">
      <c r="I59" t="str">
        <f>IF(A59="","",LEN(A59)&amp;"|"&amp;A59&amp;B59)</f>
        <v/>
      </c>
      <c r="J59">
        <f>IF(A59="",0,IF(D59&lt;=Control!$B$2,1,0))</f>
        <v>0</v>
      </c>
      <c r="K59">
        <f>IF(J59=1,IF(SUMPRODUCT($J$2:$J$501*EXACT($I$2:$I$501,I59)*($C$2:$C$501&gt;C59))=0,1,0),0)</f>
        <v>0</v>
      </c>
      <c r="L59">
        <f>IF(K59=1,IF(EXACT(F59,"posted"),IF(E59&lt;=Control!$B$2,1,0),0),0)</f>
        <v>0</v>
      </c>
      <c r="M59">
        <f>IF(A59="",0,SUMPRODUCT(EXACT(Rates!$A$2:$A$4,G59)*Rates!$B$2:$B$4))</f>
        <v>0</v>
      </c>
      <c r="N59">
        <f>IF(L59=1,ROUND(ROUND(H59*M59*100,6),0),0)</f>
        <v>0</v>
      </c>
    </row>
    <row r="60">
      <c r="I60" t="str">
        <f>IF(A60="","",LEN(A60)&amp;"|"&amp;A60&amp;B60)</f>
        <v/>
      </c>
      <c r="J60">
        <f>IF(A60="",0,IF(D60&lt;=Control!$B$2,1,0))</f>
        <v>0</v>
      </c>
      <c r="K60">
        <f>IF(J60=1,IF(SUMPRODUCT($J$2:$J$501*EXACT($I$2:$I$501,I60)*($C$2:$C$501&gt;C60))=0,1,0),0)</f>
        <v>0</v>
      </c>
      <c r="L60">
        <f>IF(K60=1,IF(EXACT(F60,"posted"),IF(E60&lt;=Control!$B$2,1,0),0),0)</f>
        <v>0</v>
      </c>
      <c r="M60">
        <f>IF(A60="",0,SUMPRODUCT(EXACT(Rates!$A$2:$A$4,G60)*Rates!$B$2:$B$4))</f>
        <v>0</v>
      </c>
      <c r="N60">
        <f>IF(L60=1,ROUND(ROUND(H60*M60*100,6),0),0)</f>
        <v>0</v>
      </c>
    </row>
    <row r="61">
      <c r="I61" t="str">
        <f>IF(A61="","",LEN(A61)&amp;"|"&amp;A61&amp;B61)</f>
        <v/>
      </c>
      <c r="J61">
        <f>IF(A61="",0,IF(D61&lt;=Control!$B$2,1,0))</f>
        <v>0</v>
      </c>
      <c r="K61">
        <f>IF(J61=1,IF(SUMPRODUCT($J$2:$J$501*EXACT($I$2:$I$501,I61)*($C$2:$C$501&gt;C61))=0,1,0),0)</f>
        <v>0</v>
      </c>
      <c r="L61">
        <f>IF(K61=1,IF(EXACT(F61,"posted"),IF(E61&lt;=Control!$B$2,1,0),0),0)</f>
        <v>0</v>
      </c>
      <c r="M61">
        <f>IF(A61="",0,SUMPRODUCT(EXACT(Rates!$A$2:$A$4,G61)*Rates!$B$2:$B$4))</f>
        <v>0</v>
      </c>
      <c r="N61">
        <f>IF(L61=1,ROUND(ROUND(H61*M61*100,6),0),0)</f>
        <v>0</v>
      </c>
    </row>
    <row r="62">
      <c r="I62" t="str">
        <f>IF(A62="","",LEN(A62)&amp;"|"&amp;A62&amp;B62)</f>
        <v/>
      </c>
      <c r="J62">
        <f>IF(A62="",0,IF(D62&lt;=Control!$B$2,1,0))</f>
        <v>0</v>
      </c>
      <c r="K62">
        <f>IF(J62=1,IF(SUMPRODUCT($J$2:$J$501*EXACT($I$2:$I$501,I62)*($C$2:$C$501&gt;C62))=0,1,0),0)</f>
        <v>0</v>
      </c>
      <c r="L62">
        <f>IF(K62=1,IF(EXACT(F62,"posted"),IF(E62&lt;=Control!$B$2,1,0),0),0)</f>
        <v>0</v>
      </c>
      <c r="M62">
        <f>IF(A62="",0,SUMPRODUCT(EXACT(Rates!$A$2:$A$4,G62)*Rates!$B$2:$B$4))</f>
        <v>0</v>
      </c>
      <c r="N62">
        <f>IF(L62=1,ROUND(ROUND(H62*M62*100,6),0),0)</f>
        <v>0</v>
      </c>
    </row>
    <row r="63">
      <c r="I63" t="str">
        <f>IF(A63="","",LEN(A63)&amp;"|"&amp;A63&amp;B63)</f>
        <v/>
      </c>
      <c r="J63">
        <f>IF(A63="",0,IF(D63&lt;=Control!$B$2,1,0))</f>
        <v>0</v>
      </c>
      <c r="K63">
        <f>IF(J63=1,IF(SUMPRODUCT($J$2:$J$501*EXACT($I$2:$I$501,I63)*($C$2:$C$501&gt;C63))=0,1,0),0)</f>
        <v>0</v>
      </c>
      <c r="L63">
        <f>IF(K63=1,IF(EXACT(F63,"posted"),IF(E63&lt;=Control!$B$2,1,0),0),0)</f>
        <v>0</v>
      </c>
      <c r="M63">
        <f>IF(A63="",0,SUMPRODUCT(EXACT(Rates!$A$2:$A$4,G63)*Rates!$B$2:$B$4))</f>
        <v>0</v>
      </c>
      <c r="N63">
        <f>IF(L63=1,ROUND(ROUND(H63*M63*100,6),0),0)</f>
        <v>0</v>
      </c>
    </row>
    <row r="64">
      <c r="I64" t="str">
        <f>IF(A64="","",LEN(A64)&amp;"|"&amp;A64&amp;B64)</f>
        <v/>
      </c>
      <c r="J64">
        <f>IF(A64="",0,IF(D64&lt;=Control!$B$2,1,0))</f>
        <v>0</v>
      </c>
      <c r="K64">
        <f>IF(J64=1,IF(SUMPRODUCT($J$2:$J$501*EXACT($I$2:$I$501,I64)*($C$2:$C$501&gt;C64))=0,1,0),0)</f>
        <v>0</v>
      </c>
      <c r="L64">
        <f>IF(K64=1,IF(EXACT(F64,"posted"),IF(E64&lt;=Control!$B$2,1,0),0),0)</f>
        <v>0</v>
      </c>
      <c r="M64">
        <f>IF(A64="",0,SUMPRODUCT(EXACT(Rates!$A$2:$A$4,G64)*Rates!$B$2:$B$4))</f>
        <v>0</v>
      </c>
      <c r="N64">
        <f>IF(L64=1,ROUND(ROUND(H64*M64*100,6),0),0)</f>
        <v>0</v>
      </c>
    </row>
    <row r="65">
      <c r="I65" t="str">
        <f>IF(A65="","",LEN(A65)&amp;"|"&amp;A65&amp;B65)</f>
        <v/>
      </c>
      <c r="J65">
        <f>IF(A65="",0,IF(D65&lt;=Control!$B$2,1,0))</f>
        <v>0</v>
      </c>
      <c r="K65">
        <f>IF(J65=1,IF(SUMPRODUCT($J$2:$J$501*EXACT($I$2:$I$501,I65)*($C$2:$C$501&gt;C65))=0,1,0),0)</f>
        <v>0</v>
      </c>
      <c r="L65">
        <f>IF(K65=1,IF(EXACT(F65,"posted"),IF(E65&lt;=Control!$B$2,1,0),0),0)</f>
        <v>0</v>
      </c>
      <c r="M65">
        <f>IF(A65="",0,SUMPRODUCT(EXACT(Rates!$A$2:$A$4,G65)*Rates!$B$2:$B$4))</f>
        <v>0</v>
      </c>
      <c r="N65">
        <f>IF(L65=1,ROUND(ROUND(H65*M65*100,6),0),0)</f>
        <v>0</v>
      </c>
    </row>
    <row r="66">
      <c r="I66" t="str">
        <f>IF(A66="","",LEN(A66)&amp;"|"&amp;A66&amp;B66)</f>
        <v/>
      </c>
      <c r="J66">
        <f>IF(A66="",0,IF(D66&lt;=Control!$B$2,1,0))</f>
        <v>0</v>
      </c>
      <c r="K66">
        <f>IF(J66=1,IF(SUMPRODUCT($J$2:$J$501*EXACT($I$2:$I$501,I66)*($C$2:$C$501&gt;C66))=0,1,0),0)</f>
        <v>0</v>
      </c>
      <c r="L66">
        <f>IF(K66=1,IF(EXACT(F66,"posted"),IF(E66&lt;=Control!$B$2,1,0),0),0)</f>
        <v>0</v>
      </c>
      <c r="M66">
        <f>IF(A66="",0,SUMPRODUCT(EXACT(Rates!$A$2:$A$4,G66)*Rates!$B$2:$B$4))</f>
        <v>0</v>
      </c>
      <c r="N66">
        <f>IF(L66=1,ROUND(ROUND(H66*M66*100,6),0),0)</f>
        <v>0</v>
      </c>
    </row>
    <row r="67">
      <c r="I67" t="str">
        <f>IF(A67="","",LEN(A67)&amp;"|"&amp;A67&amp;B67)</f>
        <v/>
      </c>
      <c r="J67">
        <f>IF(A67="",0,IF(D67&lt;=Control!$B$2,1,0))</f>
        <v>0</v>
      </c>
      <c r="K67">
        <f>IF(J67=1,IF(SUMPRODUCT($J$2:$J$501*EXACT($I$2:$I$501,I67)*($C$2:$C$501&gt;C67))=0,1,0),0)</f>
        <v>0</v>
      </c>
      <c r="L67">
        <f>IF(K67=1,IF(EXACT(F67,"posted"),IF(E67&lt;=Control!$B$2,1,0),0),0)</f>
        <v>0</v>
      </c>
      <c r="M67">
        <f>IF(A67="",0,SUMPRODUCT(EXACT(Rates!$A$2:$A$4,G67)*Rates!$B$2:$B$4))</f>
        <v>0</v>
      </c>
      <c r="N67">
        <f>IF(L67=1,ROUND(ROUND(H67*M67*100,6),0),0)</f>
        <v>0</v>
      </c>
    </row>
    <row r="68">
      <c r="I68" t="str">
        <f>IF(A68="","",LEN(A68)&amp;"|"&amp;A68&amp;B68)</f>
        <v/>
      </c>
      <c r="J68">
        <f>IF(A68="",0,IF(D68&lt;=Control!$B$2,1,0))</f>
        <v>0</v>
      </c>
      <c r="K68">
        <f>IF(J68=1,IF(SUMPRODUCT($J$2:$J$501*EXACT($I$2:$I$501,I68)*($C$2:$C$501&gt;C68))=0,1,0),0)</f>
        <v>0</v>
      </c>
      <c r="L68">
        <f>IF(K68=1,IF(EXACT(F68,"posted"),IF(E68&lt;=Control!$B$2,1,0),0),0)</f>
        <v>0</v>
      </c>
      <c r="M68">
        <f>IF(A68="",0,SUMPRODUCT(EXACT(Rates!$A$2:$A$4,G68)*Rates!$B$2:$B$4))</f>
        <v>0</v>
      </c>
      <c r="N68">
        <f>IF(L68=1,ROUND(ROUND(H68*M68*100,6),0),0)</f>
        <v>0</v>
      </c>
    </row>
    <row r="69">
      <c r="I69" t="str">
        <f>IF(A69="","",LEN(A69)&amp;"|"&amp;A69&amp;B69)</f>
        <v/>
      </c>
      <c r="J69">
        <f>IF(A69="",0,IF(D69&lt;=Control!$B$2,1,0))</f>
        <v>0</v>
      </c>
      <c r="K69">
        <f>IF(J69=1,IF(SUMPRODUCT($J$2:$J$501*EXACT($I$2:$I$501,I69)*($C$2:$C$501&gt;C69))=0,1,0),0)</f>
        <v>0</v>
      </c>
      <c r="L69">
        <f>IF(K69=1,IF(EXACT(F69,"posted"),IF(E69&lt;=Control!$B$2,1,0),0),0)</f>
        <v>0</v>
      </c>
      <c r="M69">
        <f>IF(A69="",0,SUMPRODUCT(EXACT(Rates!$A$2:$A$4,G69)*Rates!$B$2:$B$4))</f>
        <v>0</v>
      </c>
      <c r="N69">
        <f>IF(L69=1,ROUND(ROUND(H69*M69*100,6),0),0)</f>
        <v>0</v>
      </c>
    </row>
    <row r="70">
      <c r="I70" t="str">
        <f>IF(A70="","",LEN(A70)&amp;"|"&amp;A70&amp;B70)</f>
        <v/>
      </c>
      <c r="J70">
        <f>IF(A70="",0,IF(D70&lt;=Control!$B$2,1,0))</f>
        <v>0</v>
      </c>
      <c r="K70">
        <f>IF(J70=1,IF(SUMPRODUCT($J$2:$J$501*EXACT($I$2:$I$501,I70)*($C$2:$C$501&gt;C70))=0,1,0),0)</f>
        <v>0</v>
      </c>
      <c r="L70">
        <f>IF(K70=1,IF(EXACT(F70,"posted"),IF(E70&lt;=Control!$B$2,1,0),0),0)</f>
        <v>0</v>
      </c>
      <c r="M70">
        <f>IF(A70="",0,SUMPRODUCT(EXACT(Rates!$A$2:$A$4,G70)*Rates!$B$2:$B$4))</f>
        <v>0</v>
      </c>
      <c r="N70">
        <f>IF(L70=1,ROUND(ROUND(H70*M70*100,6),0),0)</f>
        <v>0</v>
      </c>
    </row>
    <row r="71">
      <c r="I71" t="str">
        <f>IF(A71="","",LEN(A71)&amp;"|"&amp;A71&amp;B71)</f>
        <v/>
      </c>
      <c r="J71">
        <f>IF(A71="",0,IF(D71&lt;=Control!$B$2,1,0))</f>
        <v>0</v>
      </c>
      <c r="K71">
        <f>IF(J71=1,IF(SUMPRODUCT($J$2:$J$501*EXACT($I$2:$I$501,I71)*($C$2:$C$501&gt;C71))=0,1,0),0)</f>
        <v>0</v>
      </c>
      <c r="L71">
        <f>IF(K71=1,IF(EXACT(F71,"posted"),IF(E71&lt;=Control!$B$2,1,0),0),0)</f>
        <v>0</v>
      </c>
      <c r="M71">
        <f>IF(A71="",0,SUMPRODUCT(EXACT(Rates!$A$2:$A$4,G71)*Rates!$B$2:$B$4))</f>
        <v>0</v>
      </c>
      <c r="N71">
        <f>IF(L71=1,ROUND(ROUND(H71*M71*100,6),0),0)</f>
        <v>0</v>
      </c>
    </row>
    <row r="72">
      <c r="I72" t="str">
        <f>IF(A72="","",LEN(A72)&amp;"|"&amp;A72&amp;B72)</f>
        <v/>
      </c>
      <c r="J72">
        <f>IF(A72="",0,IF(D72&lt;=Control!$B$2,1,0))</f>
        <v>0</v>
      </c>
      <c r="K72">
        <f>IF(J72=1,IF(SUMPRODUCT($J$2:$J$501*EXACT($I$2:$I$501,I72)*($C$2:$C$501&gt;C72))=0,1,0),0)</f>
        <v>0</v>
      </c>
      <c r="L72">
        <f>IF(K72=1,IF(EXACT(F72,"posted"),IF(E72&lt;=Control!$B$2,1,0),0),0)</f>
        <v>0</v>
      </c>
      <c r="M72">
        <f>IF(A72="",0,SUMPRODUCT(EXACT(Rates!$A$2:$A$4,G72)*Rates!$B$2:$B$4))</f>
        <v>0</v>
      </c>
      <c r="N72">
        <f>IF(L72=1,ROUND(ROUND(H72*M72*100,6),0),0)</f>
        <v>0</v>
      </c>
    </row>
    <row r="73">
      <c r="I73" t="str">
        <f>IF(A73="","",LEN(A73)&amp;"|"&amp;A73&amp;B73)</f>
        <v/>
      </c>
      <c r="J73">
        <f>IF(A73="",0,IF(D73&lt;=Control!$B$2,1,0))</f>
        <v>0</v>
      </c>
      <c r="K73">
        <f>IF(J73=1,IF(SUMPRODUCT($J$2:$J$501*EXACT($I$2:$I$501,I73)*($C$2:$C$501&gt;C73))=0,1,0),0)</f>
        <v>0</v>
      </c>
      <c r="L73">
        <f>IF(K73=1,IF(EXACT(F73,"posted"),IF(E73&lt;=Control!$B$2,1,0),0),0)</f>
        <v>0</v>
      </c>
      <c r="M73">
        <f>IF(A73="",0,SUMPRODUCT(EXACT(Rates!$A$2:$A$4,G73)*Rates!$B$2:$B$4))</f>
        <v>0</v>
      </c>
      <c r="N73">
        <f>IF(L73=1,ROUND(ROUND(H73*M73*100,6),0),0)</f>
        <v>0</v>
      </c>
    </row>
    <row r="74">
      <c r="I74" t="str">
        <f>IF(A74="","",LEN(A74)&amp;"|"&amp;A74&amp;B74)</f>
        <v/>
      </c>
      <c r="J74">
        <f>IF(A74="",0,IF(D74&lt;=Control!$B$2,1,0))</f>
        <v>0</v>
      </c>
      <c r="K74">
        <f>IF(J74=1,IF(SUMPRODUCT($J$2:$J$501*EXACT($I$2:$I$501,I74)*($C$2:$C$501&gt;C74))=0,1,0),0)</f>
        <v>0</v>
      </c>
      <c r="L74">
        <f>IF(K74=1,IF(EXACT(F74,"posted"),IF(E74&lt;=Control!$B$2,1,0),0),0)</f>
        <v>0</v>
      </c>
      <c r="M74">
        <f>IF(A74="",0,SUMPRODUCT(EXACT(Rates!$A$2:$A$4,G74)*Rates!$B$2:$B$4))</f>
        <v>0</v>
      </c>
      <c r="N74">
        <f>IF(L74=1,ROUND(ROUND(H74*M74*100,6),0),0)</f>
        <v>0</v>
      </c>
    </row>
    <row r="75">
      <c r="I75" t="str">
        <f>IF(A75="","",LEN(A75)&amp;"|"&amp;A75&amp;B75)</f>
        <v/>
      </c>
      <c r="J75">
        <f>IF(A75="",0,IF(D75&lt;=Control!$B$2,1,0))</f>
        <v>0</v>
      </c>
      <c r="K75">
        <f>IF(J75=1,IF(SUMPRODUCT($J$2:$J$501*EXACT($I$2:$I$501,I75)*($C$2:$C$501&gt;C75))=0,1,0),0)</f>
        <v>0</v>
      </c>
      <c r="L75">
        <f>IF(K75=1,IF(EXACT(F75,"posted"),IF(E75&lt;=Control!$B$2,1,0),0),0)</f>
        <v>0</v>
      </c>
      <c r="M75">
        <f>IF(A75="",0,SUMPRODUCT(EXACT(Rates!$A$2:$A$4,G75)*Rates!$B$2:$B$4))</f>
        <v>0</v>
      </c>
      <c r="N75">
        <f>IF(L75=1,ROUND(ROUND(H75*M75*100,6),0),0)</f>
        <v>0</v>
      </c>
    </row>
    <row r="76">
      <c r="I76" t="str">
        <f>IF(A76="","",LEN(A76)&amp;"|"&amp;A76&amp;B76)</f>
        <v/>
      </c>
      <c r="J76">
        <f>IF(A76="",0,IF(D76&lt;=Control!$B$2,1,0))</f>
        <v>0</v>
      </c>
      <c r="K76">
        <f>IF(J76=1,IF(SUMPRODUCT($J$2:$J$501*EXACT($I$2:$I$501,I76)*($C$2:$C$501&gt;C76))=0,1,0),0)</f>
        <v>0</v>
      </c>
      <c r="L76">
        <f>IF(K76=1,IF(EXACT(F76,"posted"),IF(E76&lt;=Control!$B$2,1,0),0),0)</f>
        <v>0</v>
      </c>
      <c r="M76">
        <f>IF(A76="",0,SUMPRODUCT(EXACT(Rates!$A$2:$A$4,G76)*Rates!$B$2:$B$4))</f>
        <v>0</v>
      </c>
      <c r="N76">
        <f>IF(L76=1,ROUND(ROUND(H76*M76*100,6),0),0)</f>
        <v>0</v>
      </c>
    </row>
    <row r="77">
      <c r="I77" t="str">
        <f>IF(A77="","",LEN(A77)&amp;"|"&amp;A77&amp;B77)</f>
        <v/>
      </c>
      <c r="J77">
        <f>IF(A77="",0,IF(D77&lt;=Control!$B$2,1,0))</f>
        <v>0</v>
      </c>
      <c r="K77">
        <f>IF(J77=1,IF(SUMPRODUCT($J$2:$J$501*EXACT($I$2:$I$501,I77)*($C$2:$C$501&gt;C77))=0,1,0),0)</f>
        <v>0</v>
      </c>
      <c r="L77">
        <f>IF(K77=1,IF(EXACT(F77,"posted"),IF(E77&lt;=Control!$B$2,1,0),0),0)</f>
        <v>0</v>
      </c>
      <c r="M77">
        <f>IF(A77="",0,SUMPRODUCT(EXACT(Rates!$A$2:$A$4,G77)*Rates!$B$2:$B$4))</f>
        <v>0</v>
      </c>
      <c r="N77">
        <f>IF(L77=1,ROUND(ROUND(H77*M77*100,6),0),0)</f>
        <v>0</v>
      </c>
    </row>
    <row r="78">
      <c r="I78" t="str">
        <f>IF(A78="","",LEN(A78)&amp;"|"&amp;A78&amp;B78)</f>
        <v/>
      </c>
      <c r="J78">
        <f>IF(A78="",0,IF(D78&lt;=Control!$B$2,1,0))</f>
        <v>0</v>
      </c>
      <c r="K78">
        <f>IF(J78=1,IF(SUMPRODUCT($J$2:$J$501*EXACT($I$2:$I$501,I78)*($C$2:$C$501&gt;C78))=0,1,0),0)</f>
        <v>0</v>
      </c>
      <c r="L78">
        <f>IF(K78=1,IF(EXACT(F78,"posted"),IF(E78&lt;=Control!$B$2,1,0),0),0)</f>
        <v>0</v>
      </c>
      <c r="M78">
        <f>IF(A78="",0,SUMPRODUCT(EXACT(Rates!$A$2:$A$4,G78)*Rates!$B$2:$B$4))</f>
        <v>0</v>
      </c>
      <c r="N78">
        <f>IF(L78=1,ROUND(ROUND(H78*M78*100,6),0),0)</f>
        <v>0</v>
      </c>
    </row>
    <row r="79">
      <c r="I79" t="str">
        <f>IF(A79="","",LEN(A79)&amp;"|"&amp;A79&amp;B79)</f>
        <v/>
      </c>
      <c r="J79">
        <f>IF(A79="",0,IF(D79&lt;=Control!$B$2,1,0))</f>
        <v>0</v>
      </c>
      <c r="K79">
        <f>IF(J79=1,IF(SUMPRODUCT($J$2:$J$501*EXACT($I$2:$I$501,I79)*($C$2:$C$501&gt;C79))=0,1,0),0)</f>
        <v>0</v>
      </c>
      <c r="L79">
        <f>IF(K79=1,IF(EXACT(F79,"posted"),IF(E79&lt;=Control!$B$2,1,0),0),0)</f>
        <v>0</v>
      </c>
      <c r="M79">
        <f>IF(A79="",0,SUMPRODUCT(EXACT(Rates!$A$2:$A$4,G79)*Rates!$B$2:$B$4))</f>
        <v>0</v>
      </c>
      <c r="N79">
        <f>IF(L79=1,ROUND(ROUND(H79*M79*100,6),0),0)</f>
        <v>0</v>
      </c>
    </row>
    <row r="80">
      <c r="I80" t="str">
        <f>IF(A80="","",LEN(A80)&amp;"|"&amp;A80&amp;B80)</f>
        <v/>
      </c>
      <c r="J80">
        <f>IF(A80="",0,IF(D80&lt;=Control!$B$2,1,0))</f>
        <v>0</v>
      </c>
      <c r="K80">
        <f>IF(J80=1,IF(SUMPRODUCT($J$2:$J$501*EXACT($I$2:$I$501,I80)*($C$2:$C$501&gt;C80))=0,1,0),0)</f>
        <v>0</v>
      </c>
      <c r="L80">
        <f>IF(K80=1,IF(EXACT(F80,"posted"),IF(E80&lt;=Control!$B$2,1,0),0),0)</f>
        <v>0</v>
      </c>
      <c r="M80">
        <f>IF(A80="",0,SUMPRODUCT(EXACT(Rates!$A$2:$A$4,G80)*Rates!$B$2:$B$4))</f>
        <v>0</v>
      </c>
      <c r="N80">
        <f>IF(L80=1,ROUND(ROUND(H80*M80*100,6),0),0)</f>
        <v>0</v>
      </c>
    </row>
    <row r="81">
      <c r="I81" t="str">
        <f>IF(A81="","",LEN(A81)&amp;"|"&amp;A81&amp;B81)</f>
        <v/>
      </c>
      <c r="J81">
        <f>IF(A81="",0,IF(D81&lt;=Control!$B$2,1,0))</f>
        <v>0</v>
      </c>
      <c r="K81">
        <f>IF(J81=1,IF(SUMPRODUCT($J$2:$J$501*EXACT($I$2:$I$501,I81)*($C$2:$C$501&gt;C81))=0,1,0),0)</f>
        <v>0</v>
      </c>
      <c r="L81">
        <f>IF(K81=1,IF(EXACT(F81,"posted"),IF(E81&lt;=Control!$B$2,1,0),0),0)</f>
        <v>0</v>
      </c>
      <c r="M81">
        <f>IF(A81="",0,SUMPRODUCT(EXACT(Rates!$A$2:$A$4,G81)*Rates!$B$2:$B$4))</f>
        <v>0</v>
      </c>
      <c r="N81">
        <f>IF(L81=1,ROUND(ROUND(H81*M81*100,6),0),0)</f>
        <v>0</v>
      </c>
    </row>
    <row r="82">
      <c r="I82" t="str">
        <f>IF(A82="","",LEN(A82)&amp;"|"&amp;A82&amp;B82)</f>
        <v/>
      </c>
      <c r="J82">
        <f>IF(A82="",0,IF(D82&lt;=Control!$B$2,1,0))</f>
        <v>0</v>
      </c>
      <c r="K82">
        <f>IF(J82=1,IF(SUMPRODUCT($J$2:$J$501*EXACT($I$2:$I$501,I82)*($C$2:$C$501&gt;C82))=0,1,0),0)</f>
        <v>0</v>
      </c>
      <c r="L82">
        <f>IF(K82=1,IF(EXACT(F82,"posted"),IF(E82&lt;=Control!$B$2,1,0),0),0)</f>
        <v>0</v>
      </c>
      <c r="M82">
        <f>IF(A82="",0,SUMPRODUCT(EXACT(Rates!$A$2:$A$4,G82)*Rates!$B$2:$B$4))</f>
        <v>0</v>
      </c>
      <c r="N82">
        <f>IF(L82=1,ROUND(ROUND(H82*M82*100,6),0),0)</f>
        <v>0</v>
      </c>
    </row>
    <row r="83">
      <c r="I83" t="str">
        <f>IF(A83="","",LEN(A83)&amp;"|"&amp;A83&amp;B83)</f>
        <v/>
      </c>
      <c r="J83">
        <f>IF(A83="",0,IF(D83&lt;=Control!$B$2,1,0))</f>
        <v>0</v>
      </c>
      <c r="K83">
        <f>IF(J83=1,IF(SUMPRODUCT($J$2:$J$501*EXACT($I$2:$I$501,I83)*($C$2:$C$501&gt;C83))=0,1,0),0)</f>
        <v>0</v>
      </c>
      <c r="L83">
        <f>IF(K83=1,IF(EXACT(F83,"posted"),IF(E83&lt;=Control!$B$2,1,0),0),0)</f>
        <v>0</v>
      </c>
      <c r="M83">
        <f>IF(A83="",0,SUMPRODUCT(EXACT(Rates!$A$2:$A$4,G83)*Rates!$B$2:$B$4))</f>
        <v>0</v>
      </c>
      <c r="N83">
        <f>IF(L83=1,ROUND(ROUND(H83*M83*100,6),0),0)</f>
        <v>0</v>
      </c>
    </row>
    <row r="84">
      <c r="I84" t="str">
        <f>IF(A84="","",LEN(A84)&amp;"|"&amp;A84&amp;B84)</f>
        <v/>
      </c>
      <c r="J84">
        <f>IF(A84="",0,IF(D84&lt;=Control!$B$2,1,0))</f>
        <v>0</v>
      </c>
      <c r="K84">
        <f>IF(J84=1,IF(SUMPRODUCT($J$2:$J$501*EXACT($I$2:$I$501,I84)*($C$2:$C$501&gt;C84))=0,1,0),0)</f>
        <v>0</v>
      </c>
      <c r="L84">
        <f>IF(K84=1,IF(EXACT(F84,"posted"),IF(E84&lt;=Control!$B$2,1,0),0),0)</f>
        <v>0</v>
      </c>
      <c r="M84">
        <f>IF(A84="",0,SUMPRODUCT(EXACT(Rates!$A$2:$A$4,G84)*Rates!$B$2:$B$4))</f>
        <v>0</v>
      </c>
      <c r="N84">
        <f>IF(L84=1,ROUND(ROUND(H84*M84*100,6),0),0)</f>
        <v>0</v>
      </c>
    </row>
    <row r="85">
      <c r="I85" t="str">
        <f>IF(A85="","",LEN(A85)&amp;"|"&amp;A85&amp;B85)</f>
        <v/>
      </c>
      <c r="J85">
        <f>IF(A85="",0,IF(D85&lt;=Control!$B$2,1,0))</f>
        <v>0</v>
      </c>
      <c r="K85">
        <f>IF(J85=1,IF(SUMPRODUCT($J$2:$J$501*EXACT($I$2:$I$501,I85)*($C$2:$C$501&gt;C85))=0,1,0),0)</f>
        <v>0</v>
      </c>
      <c r="L85">
        <f>IF(K85=1,IF(EXACT(F85,"posted"),IF(E85&lt;=Control!$B$2,1,0),0),0)</f>
        <v>0</v>
      </c>
      <c r="M85">
        <f>IF(A85="",0,SUMPRODUCT(EXACT(Rates!$A$2:$A$4,G85)*Rates!$B$2:$B$4))</f>
        <v>0</v>
      </c>
      <c r="N85">
        <f>IF(L85=1,ROUND(ROUND(H85*M85*100,6),0),0)</f>
        <v>0</v>
      </c>
    </row>
    <row r="86">
      <c r="I86" t="str">
        <f>IF(A86="","",LEN(A86)&amp;"|"&amp;A86&amp;B86)</f>
        <v/>
      </c>
      <c r="J86">
        <f>IF(A86="",0,IF(D86&lt;=Control!$B$2,1,0))</f>
        <v>0</v>
      </c>
      <c r="K86">
        <f>IF(J86=1,IF(SUMPRODUCT($J$2:$J$501*EXACT($I$2:$I$501,I86)*($C$2:$C$501&gt;C86))=0,1,0),0)</f>
        <v>0</v>
      </c>
      <c r="L86">
        <f>IF(K86=1,IF(EXACT(F86,"posted"),IF(E86&lt;=Control!$B$2,1,0),0),0)</f>
        <v>0</v>
      </c>
      <c r="M86">
        <f>IF(A86="",0,SUMPRODUCT(EXACT(Rates!$A$2:$A$4,G86)*Rates!$B$2:$B$4))</f>
        <v>0</v>
      </c>
      <c r="N86">
        <f>IF(L86=1,ROUND(ROUND(H86*M86*100,6),0),0)</f>
        <v>0</v>
      </c>
    </row>
    <row r="87">
      <c r="I87" t="str">
        <f>IF(A87="","",LEN(A87)&amp;"|"&amp;A87&amp;B87)</f>
        <v/>
      </c>
      <c r="J87">
        <f>IF(A87="",0,IF(D87&lt;=Control!$B$2,1,0))</f>
        <v>0</v>
      </c>
      <c r="K87">
        <f>IF(J87=1,IF(SUMPRODUCT($J$2:$J$501*EXACT($I$2:$I$501,I87)*($C$2:$C$501&gt;C87))=0,1,0),0)</f>
        <v>0</v>
      </c>
      <c r="L87">
        <f>IF(K87=1,IF(EXACT(F87,"posted"),IF(E87&lt;=Control!$B$2,1,0),0),0)</f>
        <v>0</v>
      </c>
      <c r="M87">
        <f>IF(A87="",0,SUMPRODUCT(EXACT(Rates!$A$2:$A$4,G87)*Rates!$B$2:$B$4))</f>
        <v>0</v>
      </c>
      <c r="N87">
        <f>IF(L87=1,ROUND(ROUND(H87*M87*100,6),0),0)</f>
        <v>0</v>
      </c>
    </row>
    <row r="88">
      <c r="I88" t="str">
        <f>IF(A88="","",LEN(A88)&amp;"|"&amp;A88&amp;B88)</f>
        <v/>
      </c>
      <c r="J88">
        <f>IF(A88="",0,IF(D88&lt;=Control!$B$2,1,0))</f>
        <v>0</v>
      </c>
      <c r="K88">
        <f>IF(J88=1,IF(SUMPRODUCT($J$2:$J$501*EXACT($I$2:$I$501,I88)*($C$2:$C$501&gt;C88))=0,1,0),0)</f>
        <v>0</v>
      </c>
      <c r="L88">
        <f>IF(K88=1,IF(EXACT(F88,"posted"),IF(E88&lt;=Control!$B$2,1,0),0),0)</f>
        <v>0</v>
      </c>
      <c r="M88">
        <f>IF(A88="",0,SUMPRODUCT(EXACT(Rates!$A$2:$A$4,G88)*Rates!$B$2:$B$4))</f>
        <v>0</v>
      </c>
      <c r="N88">
        <f>IF(L88=1,ROUND(ROUND(H88*M88*100,6),0),0)</f>
        <v>0</v>
      </c>
    </row>
    <row r="89">
      <c r="I89" t="str">
        <f>IF(A89="","",LEN(A89)&amp;"|"&amp;A89&amp;B89)</f>
        <v/>
      </c>
      <c r="J89">
        <f>IF(A89="",0,IF(D89&lt;=Control!$B$2,1,0))</f>
        <v>0</v>
      </c>
      <c r="K89">
        <f>IF(J89=1,IF(SUMPRODUCT($J$2:$J$501*EXACT($I$2:$I$501,I89)*($C$2:$C$501&gt;C89))=0,1,0),0)</f>
        <v>0</v>
      </c>
      <c r="L89">
        <f>IF(K89=1,IF(EXACT(F89,"posted"),IF(E89&lt;=Control!$B$2,1,0),0),0)</f>
        <v>0</v>
      </c>
      <c r="M89">
        <f>IF(A89="",0,SUMPRODUCT(EXACT(Rates!$A$2:$A$4,G89)*Rates!$B$2:$B$4))</f>
        <v>0</v>
      </c>
      <c r="N89">
        <f>IF(L89=1,ROUND(ROUND(H89*M89*100,6),0),0)</f>
        <v>0</v>
      </c>
    </row>
    <row r="90">
      <c r="I90" t="str">
        <f>IF(A90="","",LEN(A90)&amp;"|"&amp;A90&amp;B90)</f>
        <v/>
      </c>
      <c r="J90">
        <f>IF(A90="",0,IF(D90&lt;=Control!$B$2,1,0))</f>
        <v>0</v>
      </c>
      <c r="K90">
        <f>IF(J90=1,IF(SUMPRODUCT($J$2:$J$501*EXACT($I$2:$I$501,I90)*($C$2:$C$501&gt;C90))=0,1,0),0)</f>
        <v>0</v>
      </c>
      <c r="L90">
        <f>IF(K90=1,IF(EXACT(F90,"posted"),IF(E90&lt;=Control!$B$2,1,0),0),0)</f>
        <v>0</v>
      </c>
      <c r="M90">
        <f>IF(A90="",0,SUMPRODUCT(EXACT(Rates!$A$2:$A$4,G90)*Rates!$B$2:$B$4))</f>
        <v>0</v>
      </c>
      <c r="N90">
        <f>IF(L90=1,ROUND(ROUND(H90*M90*100,6),0),0)</f>
        <v>0</v>
      </c>
    </row>
    <row r="91">
      <c r="I91" t="str">
        <f>IF(A91="","",LEN(A91)&amp;"|"&amp;A91&amp;B91)</f>
        <v/>
      </c>
      <c r="J91">
        <f>IF(A91="",0,IF(D91&lt;=Control!$B$2,1,0))</f>
        <v>0</v>
      </c>
      <c r="K91">
        <f>IF(J91=1,IF(SUMPRODUCT($J$2:$J$501*EXACT($I$2:$I$501,I91)*($C$2:$C$501&gt;C91))=0,1,0),0)</f>
        <v>0</v>
      </c>
      <c r="L91">
        <f>IF(K91=1,IF(EXACT(F91,"posted"),IF(E91&lt;=Control!$B$2,1,0),0),0)</f>
        <v>0</v>
      </c>
      <c r="M91">
        <f>IF(A91="",0,SUMPRODUCT(EXACT(Rates!$A$2:$A$4,G91)*Rates!$B$2:$B$4))</f>
        <v>0</v>
      </c>
      <c r="N91">
        <f>IF(L91=1,ROUND(ROUND(H91*M91*100,6),0),0)</f>
        <v>0</v>
      </c>
    </row>
    <row r="92">
      <c r="I92" t="str">
        <f>IF(A92="","",LEN(A92)&amp;"|"&amp;A92&amp;B92)</f>
        <v/>
      </c>
      <c r="J92">
        <f>IF(A92="",0,IF(D92&lt;=Control!$B$2,1,0))</f>
        <v>0</v>
      </c>
      <c r="K92">
        <f>IF(J92=1,IF(SUMPRODUCT($J$2:$J$501*EXACT($I$2:$I$501,I92)*($C$2:$C$501&gt;C92))=0,1,0),0)</f>
        <v>0</v>
      </c>
      <c r="L92">
        <f>IF(K92=1,IF(EXACT(F92,"posted"),IF(E92&lt;=Control!$B$2,1,0),0),0)</f>
        <v>0</v>
      </c>
      <c r="M92">
        <f>IF(A92="",0,SUMPRODUCT(EXACT(Rates!$A$2:$A$4,G92)*Rates!$B$2:$B$4))</f>
        <v>0</v>
      </c>
      <c r="N92">
        <f>IF(L92=1,ROUND(ROUND(H92*M92*100,6),0),0)</f>
        <v>0</v>
      </c>
    </row>
    <row r="93">
      <c r="I93" t="str">
        <f>IF(A93="","",LEN(A93)&amp;"|"&amp;A93&amp;B93)</f>
        <v/>
      </c>
      <c r="J93">
        <f>IF(A93="",0,IF(D93&lt;=Control!$B$2,1,0))</f>
        <v>0</v>
      </c>
      <c r="K93">
        <f>IF(J93=1,IF(SUMPRODUCT($J$2:$J$501*EXACT($I$2:$I$501,I93)*($C$2:$C$501&gt;C93))=0,1,0),0)</f>
        <v>0</v>
      </c>
      <c r="L93">
        <f>IF(K93=1,IF(EXACT(F93,"posted"),IF(E93&lt;=Control!$B$2,1,0),0),0)</f>
        <v>0</v>
      </c>
      <c r="M93">
        <f>IF(A93="",0,SUMPRODUCT(EXACT(Rates!$A$2:$A$4,G93)*Rates!$B$2:$B$4))</f>
        <v>0</v>
      </c>
      <c r="N93">
        <f>IF(L93=1,ROUND(ROUND(H93*M93*100,6),0),0)</f>
        <v>0</v>
      </c>
    </row>
    <row r="94">
      <c r="I94" t="str">
        <f>IF(A94="","",LEN(A94)&amp;"|"&amp;A94&amp;B94)</f>
        <v/>
      </c>
      <c r="J94">
        <f>IF(A94="",0,IF(D94&lt;=Control!$B$2,1,0))</f>
        <v>0</v>
      </c>
      <c r="K94">
        <f>IF(J94=1,IF(SUMPRODUCT($J$2:$J$501*EXACT($I$2:$I$501,I94)*($C$2:$C$501&gt;C94))=0,1,0),0)</f>
        <v>0</v>
      </c>
      <c r="L94">
        <f>IF(K94=1,IF(EXACT(F94,"posted"),IF(E94&lt;=Control!$B$2,1,0),0),0)</f>
        <v>0</v>
      </c>
      <c r="M94">
        <f>IF(A94="",0,SUMPRODUCT(EXACT(Rates!$A$2:$A$4,G94)*Rates!$B$2:$B$4))</f>
        <v>0</v>
      </c>
      <c r="N94">
        <f>IF(L94=1,ROUND(ROUND(H94*M94*100,6),0),0)</f>
        <v>0</v>
      </c>
    </row>
    <row r="95">
      <c r="I95" t="str">
        <f>IF(A95="","",LEN(A95)&amp;"|"&amp;A95&amp;B95)</f>
        <v/>
      </c>
      <c r="J95">
        <f>IF(A95="",0,IF(D95&lt;=Control!$B$2,1,0))</f>
        <v>0</v>
      </c>
      <c r="K95">
        <f>IF(J95=1,IF(SUMPRODUCT($J$2:$J$501*EXACT($I$2:$I$501,I95)*($C$2:$C$501&gt;C95))=0,1,0),0)</f>
        <v>0</v>
      </c>
      <c r="L95">
        <f>IF(K95=1,IF(EXACT(F95,"posted"),IF(E95&lt;=Control!$B$2,1,0),0),0)</f>
        <v>0</v>
      </c>
      <c r="M95">
        <f>IF(A95="",0,SUMPRODUCT(EXACT(Rates!$A$2:$A$4,G95)*Rates!$B$2:$B$4))</f>
        <v>0</v>
      </c>
      <c r="N95">
        <f>IF(L95=1,ROUND(ROUND(H95*M95*100,6),0),0)</f>
        <v>0</v>
      </c>
    </row>
    <row r="96">
      <c r="I96" t="str">
        <f>IF(A96="","",LEN(A96)&amp;"|"&amp;A96&amp;B96)</f>
        <v/>
      </c>
      <c r="J96">
        <f>IF(A96="",0,IF(D96&lt;=Control!$B$2,1,0))</f>
        <v>0</v>
      </c>
      <c r="K96">
        <f>IF(J96=1,IF(SUMPRODUCT($J$2:$J$501*EXACT($I$2:$I$501,I96)*($C$2:$C$501&gt;C96))=0,1,0),0)</f>
        <v>0</v>
      </c>
      <c r="L96">
        <f>IF(K96=1,IF(EXACT(F96,"posted"),IF(E96&lt;=Control!$B$2,1,0),0),0)</f>
        <v>0</v>
      </c>
      <c r="M96">
        <f>IF(A96="",0,SUMPRODUCT(EXACT(Rates!$A$2:$A$4,G96)*Rates!$B$2:$B$4))</f>
        <v>0</v>
      </c>
      <c r="N96">
        <f>IF(L96=1,ROUND(ROUND(H96*M96*100,6),0),0)</f>
        <v>0</v>
      </c>
    </row>
    <row r="97">
      <c r="I97" t="str">
        <f>IF(A97="","",LEN(A97)&amp;"|"&amp;A97&amp;B97)</f>
        <v/>
      </c>
      <c r="J97">
        <f>IF(A97="",0,IF(D97&lt;=Control!$B$2,1,0))</f>
        <v>0</v>
      </c>
      <c r="K97">
        <f>IF(J97=1,IF(SUMPRODUCT($J$2:$J$501*EXACT($I$2:$I$501,I97)*($C$2:$C$501&gt;C97))=0,1,0),0)</f>
        <v>0</v>
      </c>
      <c r="L97">
        <f>IF(K97=1,IF(EXACT(F97,"posted"),IF(E97&lt;=Control!$B$2,1,0),0),0)</f>
        <v>0</v>
      </c>
      <c r="M97">
        <f>IF(A97="",0,SUMPRODUCT(EXACT(Rates!$A$2:$A$4,G97)*Rates!$B$2:$B$4))</f>
        <v>0</v>
      </c>
      <c r="N97">
        <f>IF(L97=1,ROUND(ROUND(H97*M97*100,6),0),0)</f>
        <v>0</v>
      </c>
    </row>
    <row r="98">
      <c r="I98" t="str">
        <f>IF(A98="","",LEN(A98)&amp;"|"&amp;A98&amp;B98)</f>
        <v/>
      </c>
      <c r="J98">
        <f>IF(A98="",0,IF(D98&lt;=Control!$B$2,1,0))</f>
        <v>0</v>
      </c>
      <c r="K98">
        <f>IF(J98=1,IF(SUMPRODUCT($J$2:$J$501*EXACT($I$2:$I$501,I98)*($C$2:$C$501&gt;C98))=0,1,0),0)</f>
        <v>0</v>
      </c>
      <c r="L98">
        <f>IF(K98=1,IF(EXACT(F98,"posted"),IF(E98&lt;=Control!$B$2,1,0),0),0)</f>
        <v>0</v>
      </c>
      <c r="M98">
        <f>IF(A98="",0,SUMPRODUCT(EXACT(Rates!$A$2:$A$4,G98)*Rates!$B$2:$B$4))</f>
        <v>0</v>
      </c>
      <c r="N98">
        <f>IF(L98=1,ROUND(ROUND(H98*M98*100,6),0),0)</f>
        <v>0</v>
      </c>
    </row>
    <row r="99">
      <c r="I99" t="str">
        <f>IF(A99="","",LEN(A99)&amp;"|"&amp;A99&amp;B99)</f>
        <v/>
      </c>
      <c r="J99">
        <f>IF(A99="",0,IF(D99&lt;=Control!$B$2,1,0))</f>
        <v>0</v>
      </c>
      <c r="K99">
        <f>IF(J99=1,IF(SUMPRODUCT($J$2:$J$501*EXACT($I$2:$I$501,I99)*($C$2:$C$501&gt;C99))=0,1,0),0)</f>
        <v>0</v>
      </c>
      <c r="L99">
        <f>IF(K99=1,IF(EXACT(F99,"posted"),IF(E99&lt;=Control!$B$2,1,0),0),0)</f>
        <v>0</v>
      </c>
      <c r="M99">
        <f>IF(A99="",0,SUMPRODUCT(EXACT(Rates!$A$2:$A$4,G99)*Rates!$B$2:$B$4))</f>
        <v>0</v>
      </c>
      <c r="N99">
        <f>IF(L99=1,ROUND(ROUND(H99*M99*100,6),0),0)</f>
        <v>0</v>
      </c>
    </row>
    <row r="100">
      <c r="I100" t="str">
        <f>IF(A100="","",LEN(A100)&amp;"|"&amp;A100&amp;B100)</f>
        <v/>
      </c>
      <c r="J100">
        <f>IF(A100="",0,IF(D100&lt;=Control!$B$2,1,0))</f>
        <v>0</v>
      </c>
      <c r="K100">
        <f>IF(J100=1,IF(SUMPRODUCT($J$2:$J$501*EXACT($I$2:$I$501,I100)*($C$2:$C$501&gt;C100))=0,1,0),0)</f>
        <v>0</v>
      </c>
      <c r="L100">
        <f>IF(K100=1,IF(EXACT(F100,"posted"),IF(E100&lt;=Control!$B$2,1,0),0),0)</f>
        <v>0</v>
      </c>
      <c r="M100">
        <f>IF(A100="",0,SUMPRODUCT(EXACT(Rates!$A$2:$A$4,G100)*Rates!$B$2:$B$4))</f>
        <v>0</v>
      </c>
      <c r="N100">
        <f>IF(L100=1,ROUND(ROUND(H100*M100*100,6),0),0)</f>
        <v>0</v>
      </c>
    </row>
    <row r="101">
      <c r="I101" t="str">
        <f>IF(A101="","",LEN(A101)&amp;"|"&amp;A101&amp;B101)</f>
        <v/>
      </c>
      <c r="J101">
        <f>IF(A101="",0,IF(D101&lt;=Control!$B$2,1,0))</f>
        <v>0</v>
      </c>
      <c r="K101">
        <f>IF(J101=1,IF(SUMPRODUCT($J$2:$J$501*EXACT($I$2:$I$501,I101)*($C$2:$C$501&gt;C101))=0,1,0),0)</f>
        <v>0</v>
      </c>
      <c r="L101">
        <f>IF(K101=1,IF(EXACT(F101,"posted"),IF(E101&lt;=Control!$B$2,1,0),0),0)</f>
        <v>0</v>
      </c>
      <c r="M101">
        <f>IF(A101="",0,SUMPRODUCT(EXACT(Rates!$A$2:$A$4,G101)*Rates!$B$2:$B$4))</f>
        <v>0</v>
      </c>
      <c r="N101">
        <f>IF(L101=1,ROUND(ROUND(H101*M101*100,6),0),0)</f>
        <v>0</v>
      </c>
    </row>
    <row r="102">
      <c r="I102" t="str">
        <f>IF(A102="","",LEN(A102)&amp;"|"&amp;A102&amp;B102)</f>
        <v/>
      </c>
      <c r="J102">
        <f>IF(A102="",0,IF(D102&lt;=Control!$B$2,1,0))</f>
        <v>0</v>
      </c>
      <c r="K102">
        <f>IF(J102=1,IF(SUMPRODUCT($J$2:$J$501*EXACT($I$2:$I$501,I102)*($C$2:$C$501&gt;C102))=0,1,0),0)</f>
        <v>0</v>
      </c>
      <c r="L102">
        <f>IF(K102=1,IF(EXACT(F102,"posted"),IF(E102&lt;=Control!$B$2,1,0),0),0)</f>
        <v>0</v>
      </c>
      <c r="M102">
        <f>IF(A102="",0,SUMPRODUCT(EXACT(Rates!$A$2:$A$4,G102)*Rates!$B$2:$B$4))</f>
        <v>0</v>
      </c>
      <c r="N102">
        <f>IF(L102=1,ROUND(ROUND(H102*M102*100,6),0),0)</f>
        <v>0</v>
      </c>
    </row>
    <row r="103">
      <c r="I103" t="str">
        <f>IF(A103="","",LEN(A103)&amp;"|"&amp;A103&amp;B103)</f>
        <v/>
      </c>
      <c r="J103">
        <f>IF(A103="",0,IF(D103&lt;=Control!$B$2,1,0))</f>
        <v>0</v>
      </c>
      <c r="K103">
        <f>IF(J103=1,IF(SUMPRODUCT($J$2:$J$501*EXACT($I$2:$I$501,I103)*($C$2:$C$501&gt;C103))=0,1,0),0)</f>
        <v>0</v>
      </c>
      <c r="L103">
        <f>IF(K103=1,IF(EXACT(F103,"posted"),IF(E103&lt;=Control!$B$2,1,0),0),0)</f>
        <v>0</v>
      </c>
      <c r="M103">
        <f>IF(A103="",0,SUMPRODUCT(EXACT(Rates!$A$2:$A$4,G103)*Rates!$B$2:$B$4))</f>
        <v>0</v>
      </c>
      <c r="N103">
        <f>IF(L103=1,ROUND(ROUND(H103*M103*100,6),0),0)</f>
        <v>0</v>
      </c>
    </row>
    <row r="104">
      <c r="I104" t="str">
        <f>IF(A104="","",LEN(A104)&amp;"|"&amp;A104&amp;B104)</f>
        <v/>
      </c>
      <c r="J104">
        <f>IF(A104="",0,IF(D104&lt;=Control!$B$2,1,0))</f>
        <v>0</v>
      </c>
      <c r="K104">
        <f>IF(J104=1,IF(SUMPRODUCT($J$2:$J$501*EXACT($I$2:$I$501,I104)*($C$2:$C$501&gt;C104))=0,1,0),0)</f>
        <v>0</v>
      </c>
      <c r="L104">
        <f>IF(K104=1,IF(EXACT(F104,"posted"),IF(E104&lt;=Control!$B$2,1,0),0),0)</f>
        <v>0</v>
      </c>
      <c r="M104">
        <f>IF(A104="",0,SUMPRODUCT(EXACT(Rates!$A$2:$A$4,G104)*Rates!$B$2:$B$4))</f>
        <v>0</v>
      </c>
      <c r="N104">
        <f>IF(L104=1,ROUND(ROUND(H104*M104*100,6),0),0)</f>
        <v>0</v>
      </c>
    </row>
    <row r="105">
      <c r="I105" t="str">
        <f>IF(A105="","",LEN(A105)&amp;"|"&amp;A105&amp;B105)</f>
        <v/>
      </c>
      <c r="J105">
        <f>IF(A105="",0,IF(D105&lt;=Control!$B$2,1,0))</f>
        <v>0</v>
      </c>
      <c r="K105">
        <f>IF(J105=1,IF(SUMPRODUCT($J$2:$J$501*EXACT($I$2:$I$501,I105)*($C$2:$C$501&gt;C105))=0,1,0),0)</f>
        <v>0</v>
      </c>
      <c r="L105">
        <f>IF(K105=1,IF(EXACT(F105,"posted"),IF(E105&lt;=Control!$B$2,1,0),0),0)</f>
        <v>0</v>
      </c>
      <c r="M105">
        <f>IF(A105="",0,SUMPRODUCT(EXACT(Rates!$A$2:$A$4,G105)*Rates!$B$2:$B$4))</f>
        <v>0</v>
      </c>
      <c r="N105">
        <f>IF(L105=1,ROUND(ROUND(H105*M105*100,6),0),0)</f>
        <v>0</v>
      </c>
    </row>
    <row r="106">
      <c r="I106" t="str">
        <f>IF(A106="","",LEN(A106)&amp;"|"&amp;A106&amp;B106)</f>
        <v/>
      </c>
      <c r="J106">
        <f>IF(A106="",0,IF(D106&lt;=Control!$B$2,1,0))</f>
        <v>0</v>
      </c>
      <c r="K106">
        <f>IF(J106=1,IF(SUMPRODUCT($J$2:$J$501*EXACT($I$2:$I$501,I106)*($C$2:$C$501&gt;C106))=0,1,0),0)</f>
        <v>0</v>
      </c>
      <c r="L106">
        <f>IF(K106=1,IF(EXACT(F106,"posted"),IF(E106&lt;=Control!$B$2,1,0),0),0)</f>
        <v>0</v>
      </c>
      <c r="M106">
        <f>IF(A106="",0,SUMPRODUCT(EXACT(Rates!$A$2:$A$4,G106)*Rates!$B$2:$B$4))</f>
        <v>0</v>
      </c>
      <c r="N106">
        <f>IF(L106=1,ROUND(ROUND(H106*M106*100,6),0),0)</f>
        <v>0</v>
      </c>
    </row>
    <row r="107">
      <c r="I107" t="str">
        <f>IF(A107="","",LEN(A107)&amp;"|"&amp;A107&amp;B107)</f>
        <v/>
      </c>
      <c r="J107">
        <f>IF(A107="",0,IF(D107&lt;=Control!$B$2,1,0))</f>
        <v>0</v>
      </c>
      <c r="K107">
        <f>IF(J107=1,IF(SUMPRODUCT($J$2:$J$501*EXACT($I$2:$I$501,I107)*($C$2:$C$501&gt;C107))=0,1,0),0)</f>
        <v>0</v>
      </c>
      <c r="L107">
        <f>IF(K107=1,IF(EXACT(F107,"posted"),IF(E107&lt;=Control!$B$2,1,0),0),0)</f>
        <v>0</v>
      </c>
      <c r="M107">
        <f>IF(A107="",0,SUMPRODUCT(EXACT(Rates!$A$2:$A$4,G107)*Rates!$B$2:$B$4))</f>
        <v>0</v>
      </c>
      <c r="N107">
        <f>IF(L107=1,ROUND(ROUND(H107*M107*100,6),0),0)</f>
        <v>0</v>
      </c>
    </row>
    <row r="108">
      <c r="I108" t="str">
        <f>IF(A108="","",LEN(A108)&amp;"|"&amp;A108&amp;B108)</f>
        <v/>
      </c>
      <c r="J108">
        <f>IF(A108="",0,IF(D108&lt;=Control!$B$2,1,0))</f>
        <v>0</v>
      </c>
      <c r="K108">
        <f>IF(J108=1,IF(SUMPRODUCT($J$2:$J$501*EXACT($I$2:$I$501,I108)*($C$2:$C$501&gt;C108))=0,1,0),0)</f>
        <v>0</v>
      </c>
      <c r="L108">
        <f>IF(K108=1,IF(EXACT(F108,"posted"),IF(E108&lt;=Control!$B$2,1,0),0),0)</f>
        <v>0</v>
      </c>
      <c r="M108">
        <f>IF(A108="",0,SUMPRODUCT(EXACT(Rates!$A$2:$A$4,G108)*Rates!$B$2:$B$4))</f>
        <v>0</v>
      </c>
      <c r="N108">
        <f>IF(L108=1,ROUND(ROUND(H108*M108*100,6),0),0)</f>
        <v>0</v>
      </c>
    </row>
    <row r="109">
      <c r="I109" t="str">
        <f>IF(A109="","",LEN(A109)&amp;"|"&amp;A109&amp;B109)</f>
        <v/>
      </c>
      <c r="J109">
        <f>IF(A109="",0,IF(D109&lt;=Control!$B$2,1,0))</f>
        <v>0</v>
      </c>
      <c r="K109">
        <f>IF(J109=1,IF(SUMPRODUCT($J$2:$J$501*EXACT($I$2:$I$501,I109)*($C$2:$C$501&gt;C109))=0,1,0),0)</f>
        <v>0</v>
      </c>
      <c r="L109">
        <f>IF(K109=1,IF(EXACT(F109,"posted"),IF(E109&lt;=Control!$B$2,1,0),0),0)</f>
        <v>0</v>
      </c>
      <c r="M109">
        <f>IF(A109="",0,SUMPRODUCT(EXACT(Rates!$A$2:$A$4,G109)*Rates!$B$2:$B$4))</f>
        <v>0</v>
      </c>
      <c r="N109">
        <f>IF(L109=1,ROUND(ROUND(H109*M109*100,6),0),0)</f>
        <v>0</v>
      </c>
    </row>
    <row r="110">
      <c r="I110" t="str">
        <f>IF(A110="","",LEN(A110)&amp;"|"&amp;A110&amp;B110)</f>
        <v/>
      </c>
      <c r="J110">
        <f>IF(A110="",0,IF(D110&lt;=Control!$B$2,1,0))</f>
        <v>0</v>
      </c>
      <c r="K110">
        <f>IF(J110=1,IF(SUMPRODUCT($J$2:$J$501*EXACT($I$2:$I$501,I110)*($C$2:$C$501&gt;C110))=0,1,0),0)</f>
        <v>0</v>
      </c>
      <c r="L110">
        <f>IF(K110=1,IF(EXACT(F110,"posted"),IF(E110&lt;=Control!$B$2,1,0),0),0)</f>
        <v>0</v>
      </c>
      <c r="M110">
        <f>IF(A110="",0,SUMPRODUCT(EXACT(Rates!$A$2:$A$4,G110)*Rates!$B$2:$B$4))</f>
        <v>0</v>
      </c>
      <c r="N110">
        <f>IF(L110=1,ROUND(ROUND(H110*M110*100,6),0),0)</f>
        <v>0</v>
      </c>
    </row>
    <row r="111">
      <c r="I111" t="str">
        <f>IF(A111="","",LEN(A111)&amp;"|"&amp;A111&amp;B111)</f>
        <v/>
      </c>
      <c r="J111">
        <f>IF(A111="",0,IF(D111&lt;=Control!$B$2,1,0))</f>
        <v>0</v>
      </c>
      <c r="K111">
        <f>IF(J111=1,IF(SUMPRODUCT($J$2:$J$501*EXACT($I$2:$I$501,I111)*($C$2:$C$501&gt;C111))=0,1,0),0)</f>
        <v>0</v>
      </c>
      <c r="L111">
        <f>IF(K111=1,IF(EXACT(F111,"posted"),IF(E111&lt;=Control!$B$2,1,0),0),0)</f>
        <v>0</v>
      </c>
      <c r="M111">
        <f>IF(A111="",0,SUMPRODUCT(EXACT(Rates!$A$2:$A$4,G111)*Rates!$B$2:$B$4))</f>
        <v>0</v>
      </c>
      <c r="N111">
        <f>IF(L111=1,ROUND(ROUND(H111*M111*100,6),0),0)</f>
        <v>0</v>
      </c>
    </row>
    <row r="112">
      <c r="I112" t="str">
        <f>IF(A112="","",LEN(A112)&amp;"|"&amp;A112&amp;B112)</f>
        <v/>
      </c>
      <c r="J112">
        <f>IF(A112="",0,IF(D112&lt;=Control!$B$2,1,0))</f>
        <v>0</v>
      </c>
      <c r="K112">
        <f>IF(J112=1,IF(SUMPRODUCT($J$2:$J$501*EXACT($I$2:$I$501,I112)*($C$2:$C$501&gt;C112))=0,1,0),0)</f>
        <v>0</v>
      </c>
      <c r="L112">
        <f>IF(K112=1,IF(EXACT(F112,"posted"),IF(E112&lt;=Control!$B$2,1,0),0),0)</f>
        <v>0</v>
      </c>
      <c r="M112">
        <f>IF(A112="",0,SUMPRODUCT(EXACT(Rates!$A$2:$A$4,G112)*Rates!$B$2:$B$4))</f>
        <v>0</v>
      </c>
      <c r="N112">
        <f>IF(L112=1,ROUND(ROUND(H112*M112*100,6),0),0)</f>
        <v>0</v>
      </c>
    </row>
    <row r="113">
      <c r="I113" t="str">
        <f>IF(A113="","",LEN(A113)&amp;"|"&amp;A113&amp;B113)</f>
        <v/>
      </c>
      <c r="J113">
        <f>IF(A113="",0,IF(D113&lt;=Control!$B$2,1,0))</f>
        <v>0</v>
      </c>
      <c r="K113">
        <f>IF(J113=1,IF(SUMPRODUCT($J$2:$J$501*EXACT($I$2:$I$501,I113)*($C$2:$C$501&gt;C113))=0,1,0),0)</f>
        <v>0</v>
      </c>
      <c r="L113">
        <f>IF(K113=1,IF(EXACT(F113,"posted"),IF(E113&lt;=Control!$B$2,1,0),0),0)</f>
        <v>0</v>
      </c>
      <c r="M113">
        <f>IF(A113="",0,SUMPRODUCT(EXACT(Rates!$A$2:$A$4,G113)*Rates!$B$2:$B$4))</f>
        <v>0</v>
      </c>
      <c r="N113">
        <f>IF(L113=1,ROUND(ROUND(H113*M113*100,6),0),0)</f>
        <v>0</v>
      </c>
    </row>
    <row r="114">
      <c r="I114" t="str">
        <f>IF(A114="","",LEN(A114)&amp;"|"&amp;A114&amp;B114)</f>
        <v/>
      </c>
      <c r="J114">
        <f>IF(A114="",0,IF(D114&lt;=Control!$B$2,1,0))</f>
        <v>0</v>
      </c>
      <c r="K114">
        <f>IF(J114=1,IF(SUMPRODUCT($J$2:$J$501*EXACT($I$2:$I$501,I114)*($C$2:$C$501&gt;C114))=0,1,0),0)</f>
        <v>0</v>
      </c>
      <c r="L114">
        <f>IF(K114=1,IF(EXACT(F114,"posted"),IF(E114&lt;=Control!$B$2,1,0),0),0)</f>
        <v>0</v>
      </c>
      <c r="M114">
        <f>IF(A114="",0,SUMPRODUCT(EXACT(Rates!$A$2:$A$4,G114)*Rates!$B$2:$B$4))</f>
        <v>0</v>
      </c>
      <c r="N114">
        <f>IF(L114=1,ROUND(ROUND(H114*M114*100,6),0),0)</f>
        <v>0</v>
      </c>
    </row>
    <row r="115">
      <c r="I115" t="str">
        <f>IF(A115="","",LEN(A115)&amp;"|"&amp;A115&amp;B115)</f>
        <v/>
      </c>
      <c r="J115">
        <f>IF(A115="",0,IF(D115&lt;=Control!$B$2,1,0))</f>
        <v>0</v>
      </c>
      <c r="K115">
        <f>IF(J115=1,IF(SUMPRODUCT($J$2:$J$501*EXACT($I$2:$I$501,I115)*($C$2:$C$501&gt;C115))=0,1,0),0)</f>
        <v>0</v>
      </c>
      <c r="L115">
        <f>IF(K115=1,IF(EXACT(F115,"posted"),IF(E115&lt;=Control!$B$2,1,0),0),0)</f>
        <v>0</v>
      </c>
      <c r="M115">
        <f>IF(A115="",0,SUMPRODUCT(EXACT(Rates!$A$2:$A$4,G115)*Rates!$B$2:$B$4))</f>
        <v>0</v>
      </c>
      <c r="N115">
        <f>IF(L115=1,ROUND(ROUND(H115*M115*100,6),0),0)</f>
        <v>0</v>
      </c>
    </row>
    <row r="116">
      <c r="I116" t="str">
        <f>IF(A116="","",LEN(A116)&amp;"|"&amp;A116&amp;B116)</f>
        <v/>
      </c>
      <c r="J116">
        <f>IF(A116="",0,IF(D116&lt;=Control!$B$2,1,0))</f>
        <v>0</v>
      </c>
      <c r="K116">
        <f>IF(J116=1,IF(SUMPRODUCT($J$2:$J$501*EXACT($I$2:$I$501,I116)*($C$2:$C$501&gt;C116))=0,1,0),0)</f>
        <v>0</v>
      </c>
      <c r="L116">
        <f>IF(K116=1,IF(EXACT(F116,"posted"),IF(E116&lt;=Control!$B$2,1,0),0),0)</f>
        <v>0</v>
      </c>
      <c r="M116">
        <f>IF(A116="",0,SUMPRODUCT(EXACT(Rates!$A$2:$A$4,G116)*Rates!$B$2:$B$4))</f>
        <v>0</v>
      </c>
      <c r="N116">
        <f>IF(L116=1,ROUND(ROUND(H116*M116*100,6),0),0)</f>
        <v>0</v>
      </c>
    </row>
    <row r="117">
      <c r="I117" t="str">
        <f>IF(A117="","",LEN(A117)&amp;"|"&amp;A117&amp;B117)</f>
        <v/>
      </c>
      <c r="J117">
        <f>IF(A117="",0,IF(D117&lt;=Control!$B$2,1,0))</f>
        <v>0</v>
      </c>
      <c r="K117">
        <f>IF(J117=1,IF(SUMPRODUCT($J$2:$J$501*EXACT($I$2:$I$501,I117)*($C$2:$C$501&gt;C117))=0,1,0),0)</f>
        <v>0</v>
      </c>
      <c r="L117">
        <f>IF(K117=1,IF(EXACT(F117,"posted"),IF(E117&lt;=Control!$B$2,1,0),0),0)</f>
        <v>0</v>
      </c>
      <c r="M117">
        <f>IF(A117="",0,SUMPRODUCT(EXACT(Rates!$A$2:$A$4,G117)*Rates!$B$2:$B$4))</f>
        <v>0</v>
      </c>
      <c r="N117">
        <f>IF(L117=1,ROUND(ROUND(H117*M117*100,6),0),0)</f>
        <v>0</v>
      </c>
    </row>
    <row r="118">
      <c r="I118" t="str">
        <f>IF(A118="","",LEN(A118)&amp;"|"&amp;A118&amp;B118)</f>
        <v/>
      </c>
      <c r="J118">
        <f>IF(A118="",0,IF(D118&lt;=Control!$B$2,1,0))</f>
        <v>0</v>
      </c>
      <c r="K118">
        <f>IF(J118=1,IF(SUMPRODUCT($J$2:$J$501*EXACT($I$2:$I$501,I118)*($C$2:$C$501&gt;C118))=0,1,0),0)</f>
        <v>0</v>
      </c>
      <c r="L118">
        <f>IF(K118=1,IF(EXACT(F118,"posted"),IF(E118&lt;=Control!$B$2,1,0),0),0)</f>
        <v>0</v>
      </c>
      <c r="M118">
        <f>IF(A118="",0,SUMPRODUCT(EXACT(Rates!$A$2:$A$4,G118)*Rates!$B$2:$B$4))</f>
        <v>0</v>
      </c>
      <c r="N118">
        <f>IF(L118=1,ROUND(ROUND(H118*M118*100,6),0),0)</f>
        <v>0</v>
      </c>
    </row>
    <row r="119">
      <c r="I119" t="str">
        <f>IF(A119="","",LEN(A119)&amp;"|"&amp;A119&amp;B119)</f>
        <v/>
      </c>
      <c r="J119">
        <f>IF(A119="",0,IF(D119&lt;=Control!$B$2,1,0))</f>
        <v>0</v>
      </c>
      <c r="K119">
        <f>IF(J119=1,IF(SUMPRODUCT($J$2:$J$501*EXACT($I$2:$I$501,I119)*($C$2:$C$501&gt;C119))=0,1,0),0)</f>
        <v>0</v>
      </c>
      <c r="L119">
        <f>IF(K119=1,IF(EXACT(F119,"posted"),IF(E119&lt;=Control!$B$2,1,0),0),0)</f>
        <v>0</v>
      </c>
      <c r="M119">
        <f>IF(A119="",0,SUMPRODUCT(EXACT(Rates!$A$2:$A$4,G119)*Rates!$B$2:$B$4))</f>
        <v>0</v>
      </c>
      <c r="N119">
        <f>IF(L119=1,ROUND(ROUND(H119*M119*100,6),0),0)</f>
        <v>0</v>
      </c>
    </row>
    <row r="120">
      <c r="I120" t="str">
        <f>IF(A120="","",LEN(A120)&amp;"|"&amp;A120&amp;B120)</f>
        <v/>
      </c>
      <c r="J120">
        <f>IF(A120="",0,IF(D120&lt;=Control!$B$2,1,0))</f>
        <v>0</v>
      </c>
      <c r="K120">
        <f>IF(J120=1,IF(SUMPRODUCT($J$2:$J$501*EXACT($I$2:$I$501,I120)*($C$2:$C$501&gt;C120))=0,1,0),0)</f>
        <v>0</v>
      </c>
      <c r="L120">
        <f>IF(K120=1,IF(EXACT(F120,"posted"),IF(E120&lt;=Control!$B$2,1,0),0),0)</f>
        <v>0</v>
      </c>
      <c r="M120">
        <f>IF(A120="",0,SUMPRODUCT(EXACT(Rates!$A$2:$A$4,G120)*Rates!$B$2:$B$4))</f>
        <v>0</v>
      </c>
      <c r="N120">
        <f>IF(L120=1,ROUND(ROUND(H120*M120*100,6),0),0)</f>
        <v>0</v>
      </c>
    </row>
    <row r="121">
      <c r="I121" t="str">
        <f>IF(A121="","",LEN(A121)&amp;"|"&amp;A121&amp;B121)</f>
        <v/>
      </c>
      <c r="J121">
        <f>IF(A121="",0,IF(D121&lt;=Control!$B$2,1,0))</f>
        <v>0</v>
      </c>
      <c r="K121">
        <f>IF(J121=1,IF(SUMPRODUCT($J$2:$J$501*EXACT($I$2:$I$501,I121)*($C$2:$C$501&gt;C121))=0,1,0),0)</f>
        <v>0</v>
      </c>
      <c r="L121">
        <f>IF(K121=1,IF(EXACT(F121,"posted"),IF(E121&lt;=Control!$B$2,1,0),0),0)</f>
        <v>0</v>
      </c>
      <c r="M121">
        <f>IF(A121="",0,SUMPRODUCT(EXACT(Rates!$A$2:$A$4,G121)*Rates!$B$2:$B$4))</f>
        <v>0</v>
      </c>
      <c r="N121">
        <f>IF(L121=1,ROUND(ROUND(H121*M121*100,6),0),0)</f>
        <v>0</v>
      </c>
    </row>
    <row r="122">
      <c r="I122" t="str">
        <f>IF(A122="","",LEN(A122)&amp;"|"&amp;A122&amp;B122)</f>
        <v/>
      </c>
      <c r="J122">
        <f>IF(A122="",0,IF(D122&lt;=Control!$B$2,1,0))</f>
        <v>0</v>
      </c>
      <c r="K122">
        <f>IF(J122=1,IF(SUMPRODUCT($J$2:$J$501*EXACT($I$2:$I$501,I122)*($C$2:$C$501&gt;C122))=0,1,0),0)</f>
        <v>0</v>
      </c>
      <c r="L122">
        <f>IF(K122=1,IF(EXACT(F122,"posted"),IF(E122&lt;=Control!$B$2,1,0),0),0)</f>
        <v>0</v>
      </c>
      <c r="M122">
        <f>IF(A122="",0,SUMPRODUCT(EXACT(Rates!$A$2:$A$4,G122)*Rates!$B$2:$B$4))</f>
        <v>0</v>
      </c>
      <c r="N122">
        <f>IF(L122=1,ROUND(ROUND(H122*M122*100,6),0),0)</f>
        <v>0</v>
      </c>
    </row>
    <row r="123">
      <c r="I123" t="str">
        <f>IF(A123="","",LEN(A123)&amp;"|"&amp;A123&amp;B123)</f>
        <v/>
      </c>
      <c r="J123">
        <f>IF(A123="",0,IF(D123&lt;=Control!$B$2,1,0))</f>
        <v>0</v>
      </c>
      <c r="K123">
        <f>IF(J123=1,IF(SUMPRODUCT($J$2:$J$501*EXACT($I$2:$I$501,I123)*($C$2:$C$501&gt;C123))=0,1,0),0)</f>
        <v>0</v>
      </c>
      <c r="L123">
        <f>IF(K123=1,IF(EXACT(F123,"posted"),IF(E123&lt;=Control!$B$2,1,0),0),0)</f>
        <v>0</v>
      </c>
      <c r="M123">
        <f>IF(A123="",0,SUMPRODUCT(EXACT(Rates!$A$2:$A$4,G123)*Rates!$B$2:$B$4))</f>
        <v>0</v>
      </c>
      <c r="N123">
        <f>IF(L123=1,ROUND(ROUND(H123*M123*100,6),0),0)</f>
        <v>0</v>
      </c>
    </row>
    <row r="124">
      <c r="I124" t="str">
        <f>IF(A124="","",LEN(A124)&amp;"|"&amp;A124&amp;B124)</f>
        <v/>
      </c>
      <c r="J124">
        <f>IF(A124="",0,IF(D124&lt;=Control!$B$2,1,0))</f>
        <v>0</v>
      </c>
      <c r="K124">
        <f>IF(J124=1,IF(SUMPRODUCT($J$2:$J$501*EXACT($I$2:$I$501,I124)*($C$2:$C$501&gt;C124))=0,1,0),0)</f>
        <v>0</v>
      </c>
      <c r="L124">
        <f>IF(K124=1,IF(EXACT(F124,"posted"),IF(E124&lt;=Control!$B$2,1,0),0),0)</f>
        <v>0</v>
      </c>
      <c r="M124">
        <f>IF(A124="",0,SUMPRODUCT(EXACT(Rates!$A$2:$A$4,G124)*Rates!$B$2:$B$4))</f>
        <v>0</v>
      </c>
      <c r="N124">
        <f>IF(L124=1,ROUND(ROUND(H124*M124*100,6),0),0)</f>
        <v>0</v>
      </c>
    </row>
    <row r="125">
      <c r="I125" t="str">
        <f>IF(A125="","",LEN(A125)&amp;"|"&amp;A125&amp;B125)</f>
        <v/>
      </c>
      <c r="J125">
        <f>IF(A125="",0,IF(D125&lt;=Control!$B$2,1,0))</f>
        <v>0</v>
      </c>
      <c r="K125">
        <f>IF(J125=1,IF(SUMPRODUCT($J$2:$J$501*EXACT($I$2:$I$501,I125)*($C$2:$C$501&gt;C125))=0,1,0),0)</f>
        <v>0</v>
      </c>
      <c r="L125">
        <f>IF(K125=1,IF(EXACT(F125,"posted"),IF(E125&lt;=Control!$B$2,1,0),0),0)</f>
        <v>0</v>
      </c>
      <c r="M125">
        <f>IF(A125="",0,SUMPRODUCT(EXACT(Rates!$A$2:$A$4,G125)*Rates!$B$2:$B$4))</f>
        <v>0</v>
      </c>
      <c r="N125">
        <f>IF(L125=1,ROUND(ROUND(H125*M125*100,6),0),0)</f>
        <v>0</v>
      </c>
    </row>
    <row r="126">
      <c r="I126" t="str">
        <f>IF(A126="","",LEN(A126)&amp;"|"&amp;A126&amp;B126)</f>
        <v/>
      </c>
      <c r="J126">
        <f>IF(A126="",0,IF(D126&lt;=Control!$B$2,1,0))</f>
        <v>0</v>
      </c>
      <c r="K126">
        <f>IF(J126=1,IF(SUMPRODUCT($J$2:$J$501*EXACT($I$2:$I$501,I126)*($C$2:$C$501&gt;C126))=0,1,0),0)</f>
        <v>0</v>
      </c>
      <c r="L126">
        <f>IF(K126=1,IF(EXACT(F126,"posted"),IF(E126&lt;=Control!$B$2,1,0),0),0)</f>
        <v>0</v>
      </c>
      <c r="M126">
        <f>IF(A126="",0,SUMPRODUCT(EXACT(Rates!$A$2:$A$4,G126)*Rates!$B$2:$B$4))</f>
        <v>0</v>
      </c>
      <c r="N126">
        <f>IF(L126=1,ROUND(ROUND(H126*M126*100,6),0),0)</f>
        <v>0</v>
      </c>
    </row>
    <row r="127">
      <c r="I127" t="str">
        <f>IF(A127="","",LEN(A127)&amp;"|"&amp;A127&amp;B127)</f>
        <v/>
      </c>
      <c r="J127">
        <f>IF(A127="",0,IF(D127&lt;=Control!$B$2,1,0))</f>
        <v>0</v>
      </c>
      <c r="K127">
        <f>IF(J127=1,IF(SUMPRODUCT($J$2:$J$501*EXACT($I$2:$I$501,I127)*($C$2:$C$501&gt;C127))=0,1,0),0)</f>
        <v>0</v>
      </c>
      <c r="L127">
        <f>IF(K127=1,IF(EXACT(F127,"posted"),IF(E127&lt;=Control!$B$2,1,0),0),0)</f>
        <v>0</v>
      </c>
      <c r="M127">
        <f>IF(A127="",0,SUMPRODUCT(EXACT(Rates!$A$2:$A$4,G127)*Rates!$B$2:$B$4))</f>
        <v>0</v>
      </c>
      <c r="N127">
        <f>IF(L127=1,ROUND(ROUND(H127*M127*100,6),0),0)</f>
        <v>0</v>
      </c>
    </row>
    <row r="128">
      <c r="I128" t="str">
        <f>IF(A128="","",LEN(A128)&amp;"|"&amp;A128&amp;B128)</f>
        <v/>
      </c>
      <c r="J128">
        <f>IF(A128="",0,IF(D128&lt;=Control!$B$2,1,0))</f>
        <v>0</v>
      </c>
      <c r="K128">
        <f>IF(J128=1,IF(SUMPRODUCT($J$2:$J$501*EXACT($I$2:$I$501,I128)*($C$2:$C$501&gt;C128))=0,1,0),0)</f>
        <v>0</v>
      </c>
      <c r="L128">
        <f>IF(K128=1,IF(EXACT(F128,"posted"),IF(E128&lt;=Control!$B$2,1,0),0),0)</f>
        <v>0</v>
      </c>
      <c r="M128">
        <f>IF(A128="",0,SUMPRODUCT(EXACT(Rates!$A$2:$A$4,G128)*Rates!$B$2:$B$4))</f>
        <v>0</v>
      </c>
      <c r="N128">
        <f>IF(L128=1,ROUND(ROUND(H128*M128*100,6),0),0)</f>
        <v>0</v>
      </c>
    </row>
    <row r="129">
      <c r="I129" t="str">
        <f>IF(A129="","",LEN(A129)&amp;"|"&amp;A129&amp;B129)</f>
        <v/>
      </c>
      <c r="J129">
        <f>IF(A129="",0,IF(D129&lt;=Control!$B$2,1,0))</f>
        <v>0</v>
      </c>
      <c r="K129">
        <f>IF(J129=1,IF(SUMPRODUCT($J$2:$J$501*EXACT($I$2:$I$501,I129)*($C$2:$C$501&gt;C129))=0,1,0),0)</f>
        <v>0</v>
      </c>
      <c r="L129">
        <f>IF(K129=1,IF(EXACT(F129,"posted"),IF(E129&lt;=Control!$B$2,1,0),0),0)</f>
        <v>0</v>
      </c>
      <c r="M129">
        <f>IF(A129="",0,SUMPRODUCT(EXACT(Rates!$A$2:$A$4,G129)*Rates!$B$2:$B$4))</f>
        <v>0</v>
      </c>
      <c r="N129">
        <f>IF(L129=1,ROUND(ROUND(H129*M129*100,6),0),0)</f>
        <v>0</v>
      </c>
    </row>
    <row r="130">
      <c r="I130" t="str">
        <f>IF(A130="","",LEN(A130)&amp;"|"&amp;A130&amp;B130)</f>
        <v/>
      </c>
      <c r="J130">
        <f>IF(A130="",0,IF(D130&lt;=Control!$B$2,1,0))</f>
        <v>0</v>
      </c>
      <c r="K130">
        <f>IF(J130=1,IF(SUMPRODUCT($J$2:$J$501*EXACT($I$2:$I$501,I130)*($C$2:$C$501&gt;C130))=0,1,0),0)</f>
        <v>0</v>
      </c>
      <c r="L130">
        <f>IF(K130=1,IF(EXACT(F130,"posted"),IF(E130&lt;=Control!$B$2,1,0),0),0)</f>
        <v>0</v>
      </c>
      <c r="M130">
        <f>IF(A130="",0,SUMPRODUCT(EXACT(Rates!$A$2:$A$4,G130)*Rates!$B$2:$B$4))</f>
        <v>0</v>
      </c>
      <c r="N130">
        <f>IF(L130=1,ROUND(ROUND(H130*M130*100,6),0),0)</f>
        <v>0</v>
      </c>
    </row>
    <row r="131">
      <c r="I131" t="str">
        <f>IF(A131="","",LEN(A131)&amp;"|"&amp;A131&amp;B131)</f>
        <v/>
      </c>
      <c r="J131">
        <f>IF(A131="",0,IF(D131&lt;=Control!$B$2,1,0))</f>
        <v>0</v>
      </c>
      <c r="K131">
        <f>IF(J131=1,IF(SUMPRODUCT($J$2:$J$501*EXACT($I$2:$I$501,I131)*($C$2:$C$501&gt;C131))=0,1,0),0)</f>
        <v>0</v>
      </c>
      <c r="L131">
        <f>IF(K131=1,IF(EXACT(F131,"posted"),IF(E131&lt;=Control!$B$2,1,0),0),0)</f>
        <v>0</v>
      </c>
      <c r="M131">
        <f>IF(A131="",0,SUMPRODUCT(EXACT(Rates!$A$2:$A$4,G131)*Rates!$B$2:$B$4))</f>
        <v>0</v>
      </c>
      <c r="N131">
        <f>IF(L131=1,ROUND(ROUND(H131*M131*100,6),0),0)</f>
        <v>0</v>
      </c>
    </row>
    <row r="132">
      <c r="I132" t="str">
        <f>IF(A132="","",LEN(A132)&amp;"|"&amp;A132&amp;B132)</f>
        <v/>
      </c>
      <c r="J132">
        <f>IF(A132="",0,IF(D132&lt;=Control!$B$2,1,0))</f>
        <v>0</v>
      </c>
      <c r="K132">
        <f>IF(J132=1,IF(SUMPRODUCT($J$2:$J$501*EXACT($I$2:$I$501,I132)*($C$2:$C$501&gt;C132))=0,1,0),0)</f>
        <v>0</v>
      </c>
      <c r="L132">
        <f>IF(K132=1,IF(EXACT(F132,"posted"),IF(E132&lt;=Control!$B$2,1,0),0),0)</f>
        <v>0</v>
      </c>
      <c r="M132">
        <f>IF(A132="",0,SUMPRODUCT(EXACT(Rates!$A$2:$A$4,G132)*Rates!$B$2:$B$4))</f>
        <v>0</v>
      </c>
      <c r="N132">
        <f>IF(L132=1,ROUND(ROUND(H132*M132*100,6),0),0)</f>
        <v>0</v>
      </c>
    </row>
    <row r="133">
      <c r="I133" t="str">
        <f>IF(A133="","",LEN(A133)&amp;"|"&amp;A133&amp;B133)</f>
        <v/>
      </c>
      <c r="J133">
        <f>IF(A133="",0,IF(D133&lt;=Control!$B$2,1,0))</f>
        <v>0</v>
      </c>
      <c r="K133">
        <f>IF(J133=1,IF(SUMPRODUCT($J$2:$J$501*EXACT($I$2:$I$501,I133)*($C$2:$C$501&gt;C133))=0,1,0),0)</f>
        <v>0</v>
      </c>
      <c r="L133">
        <f>IF(K133=1,IF(EXACT(F133,"posted"),IF(E133&lt;=Control!$B$2,1,0),0),0)</f>
        <v>0</v>
      </c>
      <c r="M133">
        <f>IF(A133="",0,SUMPRODUCT(EXACT(Rates!$A$2:$A$4,G133)*Rates!$B$2:$B$4))</f>
        <v>0</v>
      </c>
      <c r="N133">
        <f>IF(L133=1,ROUND(ROUND(H133*M133*100,6),0),0)</f>
        <v>0</v>
      </c>
    </row>
    <row r="134">
      <c r="I134" t="str">
        <f>IF(A134="","",LEN(A134)&amp;"|"&amp;A134&amp;B134)</f>
        <v/>
      </c>
      <c r="J134">
        <f>IF(A134="",0,IF(D134&lt;=Control!$B$2,1,0))</f>
        <v>0</v>
      </c>
      <c r="K134">
        <f>IF(J134=1,IF(SUMPRODUCT($J$2:$J$501*EXACT($I$2:$I$501,I134)*($C$2:$C$501&gt;C134))=0,1,0),0)</f>
        <v>0</v>
      </c>
      <c r="L134">
        <f>IF(K134=1,IF(EXACT(F134,"posted"),IF(E134&lt;=Control!$B$2,1,0),0),0)</f>
        <v>0</v>
      </c>
      <c r="M134">
        <f>IF(A134="",0,SUMPRODUCT(EXACT(Rates!$A$2:$A$4,G134)*Rates!$B$2:$B$4))</f>
        <v>0</v>
      </c>
      <c r="N134">
        <f>IF(L134=1,ROUND(ROUND(H134*M134*100,6),0),0)</f>
        <v>0</v>
      </c>
    </row>
    <row r="135">
      <c r="I135" t="str">
        <f>IF(A135="","",LEN(A135)&amp;"|"&amp;A135&amp;B135)</f>
        <v/>
      </c>
      <c r="J135">
        <f>IF(A135="",0,IF(D135&lt;=Control!$B$2,1,0))</f>
        <v>0</v>
      </c>
      <c r="K135">
        <f>IF(J135=1,IF(SUMPRODUCT($J$2:$J$501*EXACT($I$2:$I$501,I135)*($C$2:$C$501&gt;C135))=0,1,0),0)</f>
        <v>0</v>
      </c>
      <c r="L135">
        <f>IF(K135=1,IF(EXACT(F135,"posted"),IF(E135&lt;=Control!$B$2,1,0),0),0)</f>
        <v>0</v>
      </c>
      <c r="M135">
        <f>IF(A135="",0,SUMPRODUCT(EXACT(Rates!$A$2:$A$4,G135)*Rates!$B$2:$B$4))</f>
        <v>0</v>
      </c>
      <c r="N135">
        <f>IF(L135=1,ROUND(ROUND(H135*M135*100,6),0),0)</f>
        <v>0</v>
      </c>
    </row>
    <row r="136">
      <c r="I136" t="str">
        <f>IF(A136="","",LEN(A136)&amp;"|"&amp;A136&amp;B136)</f>
        <v/>
      </c>
      <c r="J136">
        <f>IF(A136="",0,IF(D136&lt;=Control!$B$2,1,0))</f>
        <v>0</v>
      </c>
      <c r="K136">
        <f>IF(J136=1,IF(SUMPRODUCT($J$2:$J$501*EXACT($I$2:$I$501,I136)*($C$2:$C$501&gt;C136))=0,1,0),0)</f>
        <v>0</v>
      </c>
      <c r="L136">
        <f>IF(K136=1,IF(EXACT(F136,"posted"),IF(E136&lt;=Control!$B$2,1,0),0),0)</f>
        <v>0</v>
      </c>
      <c r="M136">
        <f>IF(A136="",0,SUMPRODUCT(EXACT(Rates!$A$2:$A$4,G136)*Rates!$B$2:$B$4))</f>
        <v>0</v>
      </c>
      <c r="N136">
        <f>IF(L136=1,ROUND(ROUND(H136*M136*100,6),0),0)</f>
        <v>0</v>
      </c>
    </row>
    <row r="137">
      <c r="I137" t="str">
        <f>IF(A137="","",LEN(A137)&amp;"|"&amp;A137&amp;B137)</f>
        <v/>
      </c>
      <c r="J137">
        <f>IF(A137="",0,IF(D137&lt;=Control!$B$2,1,0))</f>
        <v>0</v>
      </c>
      <c r="K137">
        <f>IF(J137=1,IF(SUMPRODUCT($J$2:$J$501*EXACT($I$2:$I$501,I137)*($C$2:$C$501&gt;C137))=0,1,0),0)</f>
        <v>0</v>
      </c>
      <c r="L137">
        <f>IF(K137=1,IF(EXACT(F137,"posted"),IF(E137&lt;=Control!$B$2,1,0),0),0)</f>
        <v>0</v>
      </c>
      <c r="M137">
        <f>IF(A137="",0,SUMPRODUCT(EXACT(Rates!$A$2:$A$4,G137)*Rates!$B$2:$B$4))</f>
        <v>0</v>
      </c>
      <c r="N137">
        <f>IF(L137=1,ROUND(ROUND(H137*M137*100,6),0),0)</f>
        <v>0</v>
      </c>
    </row>
    <row r="138">
      <c r="I138" t="str">
        <f>IF(A138="","",LEN(A138)&amp;"|"&amp;A138&amp;B138)</f>
        <v/>
      </c>
      <c r="J138">
        <f>IF(A138="",0,IF(D138&lt;=Control!$B$2,1,0))</f>
        <v>0</v>
      </c>
      <c r="K138">
        <f>IF(J138=1,IF(SUMPRODUCT($J$2:$J$501*EXACT($I$2:$I$501,I138)*($C$2:$C$501&gt;C138))=0,1,0),0)</f>
        <v>0</v>
      </c>
      <c r="L138">
        <f>IF(K138=1,IF(EXACT(F138,"posted"),IF(E138&lt;=Control!$B$2,1,0),0),0)</f>
        <v>0</v>
      </c>
      <c r="M138">
        <f>IF(A138="",0,SUMPRODUCT(EXACT(Rates!$A$2:$A$4,G138)*Rates!$B$2:$B$4))</f>
        <v>0</v>
      </c>
      <c r="N138">
        <f>IF(L138=1,ROUND(ROUND(H138*M138*100,6),0),0)</f>
        <v>0</v>
      </c>
    </row>
    <row r="139">
      <c r="I139" t="str">
        <f>IF(A139="","",LEN(A139)&amp;"|"&amp;A139&amp;B139)</f>
        <v/>
      </c>
      <c r="J139">
        <f>IF(A139="",0,IF(D139&lt;=Control!$B$2,1,0))</f>
        <v>0</v>
      </c>
      <c r="K139">
        <f>IF(J139=1,IF(SUMPRODUCT($J$2:$J$501*EXACT($I$2:$I$501,I139)*($C$2:$C$501&gt;C139))=0,1,0),0)</f>
        <v>0</v>
      </c>
      <c r="L139">
        <f>IF(K139=1,IF(EXACT(F139,"posted"),IF(E139&lt;=Control!$B$2,1,0),0),0)</f>
        <v>0</v>
      </c>
      <c r="M139">
        <f>IF(A139="",0,SUMPRODUCT(EXACT(Rates!$A$2:$A$4,G139)*Rates!$B$2:$B$4))</f>
        <v>0</v>
      </c>
      <c r="N139">
        <f>IF(L139=1,ROUND(ROUND(H139*M139*100,6),0),0)</f>
        <v>0</v>
      </c>
    </row>
    <row r="140">
      <c r="I140" t="str">
        <f>IF(A140="","",LEN(A140)&amp;"|"&amp;A140&amp;B140)</f>
        <v/>
      </c>
      <c r="J140">
        <f>IF(A140="",0,IF(D140&lt;=Control!$B$2,1,0))</f>
        <v>0</v>
      </c>
      <c r="K140">
        <f>IF(J140=1,IF(SUMPRODUCT($J$2:$J$501*EXACT($I$2:$I$501,I140)*($C$2:$C$501&gt;C140))=0,1,0),0)</f>
        <v>0</v>
      </c>
      <c r="L140">
        <f>IF(K140=1,IF(EXACT(F140,"posted"),IF(E140&lt;=Control!$B$2,1,0),0),0)</f>
        <v>0</v>
      </c>
      <c r="M140">
        <f>IF(A140="",0,SUMPRODUCT(EXACT(Rates!$A$2:$A$4,G140)*Rates!$B$2:$B$4))</f>
        <v>0</v>
      </c>
      <c r="N140">
        <f>IF(L140=1,ROUND(ROUND(H140*M140*100,6),0),0)</f>
        <v>0</v>
      </c>
    </row>
    <row r="141">
      <c r="I141" t="str">
        <f>IF(A141="","",LEN(A141)&amp;"|"&amp;A141&amp;B141)</f>
        <v/>
      </c>
      <c r="J141">
        <f>IF(A141="",0,IF(D141&lt;=Control!$B$2,1,0))</f>
        <v>0</v>
      </c>
      <c r="K141">
        <f>IF(J141=1,IF(SUMPRODUCT($J$2:$J$501*EXACT($I$2:$I$501,I141)*($C$2:$C$501&gt;C141))=0,1,0),0)</f>
        <v>0</v>
      </c>
      <c r="L141">
        <f>IF(K141=1,IF(EXACT(F141,"posted"),IF(E141&lt;=Control!$B$2,1,0),0),0)</f>
        <v>0</v>
      </c>
      <c r="M141">
        <f>IF(A141="",0,SUMPRODUCT(EXACT(Rates!$A$2:$A$4,G141)*Rates!$B$2:$B$4))</f>
        <v>0</v>
      </c>
      <c r="N141">
        <f>IF(L141=1,ROUND(ROUND(H141*M141*100,6),0),0)</f>
        <v>0</v>
      </c>
    </row>
    <row r="142">
      <c r="I142" t="str">
        <f>IF(A142="","",LEN(A142)&amp;"|"&amp;A142&amp;B142)</f>
        <v/>
      </c>
      <c r="J142">
        <f>IF(A142="",0,IF(D142&lt;=Control!$B$2,1,0))</f>
        <v>0</v>
      </c>
      <c r="K142">
        <f>IF(J142=1,IF(SUMPRODUCT($J$2:$J$501*EXACT($I$2:$I$501,I142)*($C$2:$C$501&gt;C142))=0,1,0),0)</f>
        <v>0</v>
      </c>
      <c r="L142">
        <f>IF(K142=1,IF(EXACT(F142,"posted"),IF(E142&lt;=Control!$B$2,1,0),0),0)</f>
        <v>0</v>
      </c>
      <c r="M142">
        <f>IF(A142="",0,SUMPRODUCT(EXACT(Rates!$A$2:$A$4,G142)*Rates!$B$2:$B$4))</f>
        <v>0</v>
      </c>
      <c r="N142">
        <f>IF(L142=1,ROUND(ROUND(H142*M142*100,6),0),0)</f>
        <v>0</v>
      </c>
    </row>
    <row r="143">
      <c r="I143" t="str">
        <f>IF(A143="","",LEN(A143)&amp;"|"&amp;A143&amp;B143)</f>
        <v/>
      </c>
      <c r="J143">
        <f>IF(A143="",0,IF(D143&lt;=Control!$B$2,1,0))</f>
        <v>0</v>
      </c>
      <c r="K143">
        <f>IF(J143=1,IF(SUMPRODUCT($J$2:$J$501*EXACT($I$2:$I$501,I143)*($C$2:$C$501&gt;C143))=0,1,0),0)</f>
        <v>0</v>
      </c>
      <c r="L143">
        <f>IF(K143=1,IF(EXACT(F143,"posted"),IF(E143&lt;=Control!$B$2,1,0),0),0)</f>
        <v>0</v>
      </c>
      <c r="M143">
        <f>IF(A143="",0,SUMPRODUCT(EXACT(Rates!$A$2:$A$4,G143)*Rates!$B$2:$B$4))</f>
        <v>0</v>
      </c>
      <c r="N143">
        <f>IF(L143=1,ROUND(ROUND(H143*M143*100,6),0),0)</f>
        <v>0</v>
      </c>
    </row>
    <row r="144">
      <c r="I144" t="str">
        <f>IF(A144="","",LEN(A144)&amp;"|"&amp;A144&amp;B144)</f>
        <v/>
      </c>
      <c r="J144">
        <f>IF(A144="",0,IF(D144&lt;=Control!$B$2,1,0))</f>
        <v>0</v>
      </c>
      <c r="K144">
        <f>IF(J144=1,IF(SUMPRODUCT($J$2:$J$501*EXACT($I$2:$I$501,I144)*($C$2:$C$501&gt;C144))=0,1,0),0)</f>
        <v>0</v>
      </c>
      <c r="L144">
        <f>IF(K144=1,IF(EXACT(F144,"posted"),IF(E144&lt;=Control!$B$2,1,0),0),0)</f>
        <v>0</v>
      </c>
      <c r="M144">
        <f>IF(A144="",0,SUMPRODUCT(EXACT(Rates!$A$2:$A$4,G144)*Rates!$B$2:$B$4))</f>
        <v>0</v>
      </c>
      <c r="N144">
        <f>IF(L144=1,ROUND(ROUND(H144*M144*100,6),0),0)</f>
        <v>0</v>
      </c>
    </row>
    <row r="145">
      <c r="I145" t="str">
        <f>IF(A145="","",LEN(A145)&amp;"|"&amp;A145&amp;B145)</f>
        <v/>
      </c>
      <c r="J145">
        <f>IF(A145="",0,IF(D145&lt;=Control!$B$2,1,0))</f>
        <v>0</v>
      </c>
      <c r="K145">
        <f>IF(J145=1,IF(SUMPRODUCT($J$2:$J$501*EXACT($I$2:$I$501,I145)*($C$2:$C$501&gt;C145))=0,1,0),0)</f>
        <v>0</v>
      </c>
      <c r="L145">
        <f>IF(K145=1,IF(EXACT(F145,"posted"),IF(E145&lt;=Control!$B$2,1,0),0),0)</f>
        <v>0</v>
      </c>
      <c r="M145">
        <f>IF(A145="",0,SUMPRODUCT(EXACT(Rates!$A$2:$A$4,G145)*Rates!$B$2:$B$4))</f>
        <v>0</v>
      </c>
      <c r="N145">
        <f>IF(L145=1,ROUND(ROUND(H145*M145*100,6),0),0)</f>
        <v>0</v>
      </c>
    </row>
    <row r="146">
      <c r="I146" t="str">
        <f>IF(A146="","",LEN(A146)&amp;"|"&amp;A146&amp;B146)</f>
        <v/>
      </c>
      <c r="J146">
        <f>IF(A146="",0,IF(D146&lt;=Control!$B$2,1,0))</f>
        <v>0</v>
      </c>
      <c r="K146">
        <f>IF(J146=1,IF(SUMPRODUCT($J$2:$J$501*EXACT($I$2:$I$501,I146)*($C$2:$C$501&gt;C146))=0,1,0),0)</f>
        <v>0</v>
      </c>
      <c r="L146">
        <f>IF(K146=1,IF(EXACT(F146,"posted"),IF(E146&lt;=Control!$B$2,1,0),0),0)</f>
        <v>0</v>
      </c>
      <c r="M146">
        <f>IF(A146="",0,SUMPRODUCT(EXACT(Rates!$A$2:$A$4,G146)*Rates!$B$2:$B$4))</f>
        <v>0</v>
      </c>
      <c r="N146">
        <f>IF(L146=1,ROUND(ROUND(H146*M146*100,6),0),0)</f>
        <v>0</v>
      </c>
    </row>
    <row r="147">
      <c r="I147" t="str">
        <f>IF(A147="","",LEN(A147)&amp;"|"&amp;A147&amp;B147)</f>
        <v/>
      </c>
      <c r="J147">
        <f>IF(A147="",0,IF(D147&lt;=Control!$B$2,1,0))</f>
        <v>0</v>
      </c>
      <c r="K147">
        <f>IF(J147=1,IF(SUMPRODUCT($J$2:$J$501*EXACT($I$2:$I$501,I147)*($C$2:$C$501&gt;C147))=0,1,0),0)</f>
        <v>0</v>
      </c>
      <c r="L147">
        <f>IF(K147=1,IF(EXACT(F147,"posted"),IF(E147&lt;=Control!$B$2,1,0),0),0)</f>
        <v>0</v>
      </c>
      <c r="M147">
        <f>IF(A147="",0,SUMPRODUCT(EXACT(Rates!$A$2:$A$4,G147)*Rates!$B$2:$B$4))</f>
        <v>0</v>
      </c>
      <c r="N147">
        <f>IF(L147=1,ROUND(ROUND(H147*M147*100,6),0),0)</f>
        <v>0</v>
      </c>
    </row>
    <row r="148">
      <c r="I148" t="str">
        <f>IF(A148="","",LEN(A148)&amp;"|"&amp;A148&amp;B148)</f>
        <v/>
      </c>
      <c r="J148">
        <f>IF(A148="",0,IF(D148&lt;=Control!$B$2,1,0))</f>
        <v>0</v>
      </c>
      <c r="K148">
        <f>IF(J148=1,IF(SUMPRODUCT($J$2:$J$501*EXACT($I$2:$I$501,I148)*($C$2:$C$501&gt;C148))=0,1,0),0)</f>
        <v>0</v>
      </c>
      <c r="L148">
        <f>IF(K148=1,IF(EXACT(F148,"posted"),IF(E148&lt;=Control!$B$2,1,0),0),0)</f>
        <v>0</v>
      </c>
      <c r="M148">
        <f>IF(A148="",0,SUMPRODUCT(EXACT(Rates!$A$2:$A$4,G148)*Rates!$B$2:$B$4))</f>
        <v>0</v>
      </c>
      <c r="N148">
        <f>IF(L148=1,ROUND(ROUND(H148*M148*100,6),0),0)</f>
        <v>0</v>
      </c>
    </row>
    <row r="149">
      <c r="I149" t="str">
        <f>IF(A149="","",LEN(A149)&amp;"|"&amp;A149&amp;B149)</f>
        <v/>
      </c>
      <c r="J149">
        <f>IF(A149="",0,IF(D149&lt;=Control!$B$2,1,0))</f>
        <v>0</v>
      </c>
      <c r="K149">
        <f>IF(J149=1,IF(SUMPRODUCT($J$2:$J$501*EXACT($I$2:$I$501,I149)*($C$2:$C$501&gt;C149))=0,1,0),0)</f>
        <v>0</v>
      </c>
      <c r="L149">
        <f>IF(K149=1,IF(EXACT(F149,"posted"),IF(E149&lt;=Control!$B$2,1,0),0),0)</f>
        <v>0</v>
      </c>
      <c r="M149">
        <f>IF(A149="",0,SUMPRODUCT(EXACT(Rates!$A$2:$A$4,G149)*Rates!$B$2:$B$4))</f>
        <v>0</v>
      </c>
      <c r="N149">
        <f>IF(L149=1,ROUND(ROUND(H149*M149*100,6),0),0)</f>
        <v>0</v>
      </c>
    </row>
    <row r="150">
      <c r="I150" t="str">
        <f>IF(A150="","",LEN(A150)&amp;"|"&amp;A150&amp;B150)</f>
        <v/>
      </c>
      <c r="J150">
        <f>IF(A150="",0,IF(D150&lt;=Control!$B$2,1,0))</f>
        <v>0</v>
      </c>
      <c r="K150">
        <f>IF(J150=1,IF(SUMPRODUCT($J$2:$J$501*EXACT($I$2:$I$501,I150)*($C$2:$C$501&gt;C150))=0,1,0),0)</f>
        <v>0</v>
      </c>
      <c r="L150">
        <f>IF(K150=1,IF(EXACT(F150,"posted"),IF(E150&lt;=Control!$B$2,1,0),0),0)</f>
        <v>0</v>
      </c>
      <c r="M150">
        <f>IF(A150="",0,SUMPRODUCT(EXACT(Rates!$A$2:$A$4,G150)*Rates!$B$2:$B$4))</f>
        <v>0</v>
      </c>
      <c r="N150">
        <f>IF(L150=1,ROUND(ROUND(H150*M150*100,6),0),0)</f>
        <v>0</v>
      </c>
    </row>
    <row r="151">
      <c r="I151" t="str">
        <f>IF(A151="","",LEN(A151)&amp;"|"&amp;A151&amp;B151)</f>
        <v/>
      </c>
      <c r="J151">
        <f>IF(A151="",0,IF(D151&lt;=Control!$B$2,1,0))</f>
        <v>0</v>
      </c>
      <c r="K151">
        <f>IF(J151=1,IF(SUMPRODUCT($J$2:$J$501*EXACT($I$2:$I$501,I151)*($C$2:$C$501&gt;C151))=0,1,0),0)</f>
        <v>0</v>
      </c>
      <c r="L151">
        <f>IF(K151=1,IF(EXACT(F151,"posted"),IF(E151&lt;=Control!$B$2,1,0),0),0)</f>
        <v>0</v>
      </c>
      <c r="M151">
        <f>IF(A151="",0,SUMPRODUCT(EXACT(Rates!$A$2:$A$4,G151)*Rates!$B$2:$B$4))</f>
        <v>0</v>
      </c>
      <c r="N151">
        <f>IF(L151=1,ROUND(ROUND(H151*M151*100,6),0),0)</f>
        <v>0</v>
      </c>
    </row>
    <row r="152">
      <c r="I152" t="str">
        <f>IF(A152="","",LEN(A152)&amp;"|"&amp;A152&amp;B152)</f>
        <v/>
      </c>
      <c r="J152">
        <f>IF(A152="",0,IF(D152&lt;=Control!$B$2,1,0))</f>
        <v>0</v>
      </c>
      <c r="K152">
        <f>IF(J152=1,IF(SUMPRODUCT($J$2:$J$501*EXACT($I$2:$I$501,I152)*($C$2:$C$501&gt;C152))=0,1,0),0)</f>
        <v>0</v>
      </c>
      <c r="L152">
        <f>IF(K152=1,IF(EXACT(F152,"posted"),IF(E152&lt;=Control!$B$2,1,0),0),0)</f>
        <v>0</v>
      </c>
      <c r="M152">
        <f>IF(A152="",0,SUMPRODUCT(EXACT(Rates!$A$2:$A$4,G152)*Rates!$B$2:$B$4))</f>
        <v>0</v>
      </c>
      <c r="N152">
        <f>IF(L152=1,ROUND(ROUND(H152*M152*100,6),0),0)</f>
        <v>0</v>
      </c>
    </row>
    <row r="153">
      <c r="I153" t="str">
        <f>IF(A153="","",LEN(A153)&amp;"|"&amp;A153&amp;B153)</f>
        <v/>
      </c>
      <c r="J153">
        <f>IF(A153="",0,IF(D153&lt;=Control!$B$2,1,0))</f>
        <v>0</v>
      </c>
      <c r="K153">
        <f>IF(J153=1,IF(SUMPRODUCT($J$2:$J$501*EXACT($I$2:$I$501,I153)*($C$2:$C$501&gt;C153))=0,1,0),0)</f>
        <v>0</v>
      </c>
      <c r="L153">
        <f>IF(K153=1,IF(EXACT(F153,"posted"),IF(E153&lt;=Control!$B$2,1,0),0),0)</f>
        <v>0</v>
      </c>
      <c r="M153">
        <f>IF(A153="",0,SUMPRODUCT(EXACT(Rates!$A$2:$A$4,G153)*Rates!$B$2:$B$4))</f>
        <v>0</v>
      </c>
      <c r="N153">
        <f>IF(L153=1,ROUND(ROUND(H153*M153*100,6),0),0)</f>
        <v>0</v>
      </c>
    </row>
    <row r="154">
      <c r="I154" t="str">
        <f>IF(A154="","",LEN(A154)&amp;"|"&amp;A154&amp;B154)</f>
        <v/>
      </c>
      <c r="J154">
        <f>IF(A154="",0,IF(D154&lt;=Control!$B$2,1,0))</f>
        <v>0</v>
      </c>
      <c r="K154">
        <f>IF(J154=1,IF(SUMPRODUCT($J$2:$J$501*EXACT($I$2:$I$501,I154)*($C$2:$C$501&gt;C154))=0,1,0),0)</f>
        <v>0</v>
      </c>
      <c r="L154">
        <f>IF(K154=1,IF(EXACT(F154,"posted"),IF(E154&lt;=Control!$B$2,1,0),0),0)</f>
        <v>0</v>
      </c>
      <c r="M154">
        <f>IF(A154="",0,SUMPRODUCT(EXACT(Rates!$A$2:$A$4,G154)*Rates!$B$2:$B$4))</f>
        <v>0</v>
      </c>
      <c r="N154">
        <f>IF(L154=1,ROUND(ROUND(H154*M154*100,6),0),0)</f>
        <v>0</v>
      </c>
    </row>
    <row r="155">
      <c r="I155" t="str">
        <f>IF(A155="","",LEN(A155)&amp;"|"&amp;A155&amp;B155)</f>
        <v/>
      </c>
      <c r="J155">
        <f>IF(A155="",0,IF(D155&lt;=Control!$B$2,1,0))</f>
        <v>0</v>
      </c>
      <c r="K155">
        <f>IF(J155=1,IF(SUMPRODUCT($J$2:$J$501*EXACT($I$2:$I$501,I155)*($C$2:$C$501&gt;C155))=0,1,0),0)</f>
        <v>0</v>
      </c>
      <c r="L155">
        <f>IF(K155=1,IF(EXACT(F155,"posted"),IF(E155&lt;=Control!$B$2,1,0),0),0)</f>
        <v>0</v>
      </c>
      <c r="M155">
        <f>IF(A155="",0,SUMPRODUCT(EXACT(Rates!$A$2:$A$4,G155)*Rates!$B$2:$B$4))</f>
        <v>0</v>
      </c>
      <c r="N155">
        <f>IF(L155=1,ROUND(ROUND(H155*M155*100,6),0),0)</f>
        <v>0</v>
      </c>
    </row>
    <row r="156">
      <c r="I156" t="str">
        <f>IF(A156="","",LEN(A156)&amp;"|"&amp;A156&amp;B156)</f>
        <v/>
      </c>
      <c r="J156">
        <f>IF(A156="",0,IF(D156&lt;=Control!$B$2,1,0))</f>
        <v>0</v>
      </c>
      <c r="K156">
        <f>IF(J156=1,IF(SUMPRODUCT($J$2:$J$501*EXACT($I$2:$I$501,I156)*($C$2:$C$501&gt;C156))=0,1,0),0)</f>
        <v>0</v>
      </c>
      <c r="L156">
        <f>IF(K156=1,IF(EXACT(F156,"posted"),IF(E156&lt;=Control!$B$2,1,0),0),0)</f>
        <v>0</v>
      </c>
      <c r="M156">
        <f>IF(A156="",0,SUMPRODUCT(EXACT(Rates!$A$2:$A$4,G156)*Rates!$B$2:$B$4))</f>
        <v>0</v>
      </c>
      <c r="N156">
        <f>IF(L156=1,ROUND(ROUND(H156*M156*100,6),0),0)</f>
        <v>0</v>
      </c>
    </row>
    <row r="157">
      <c r="I157" t="str">
        <f>IF(A157="","",LEN(A157)&amp;"|"&amp;A157&amp;B157)</f>
        <v/>
      </c>
      <c r="J157">
        <f>IF(A157="",0,IF(D157&lt;=Control!$B$2,1,0))</f>
        <v>0</v>
      </c>
      <c r="K157">
        <f>IF(J157=1,IF(SUMPRODUCT($J$2:$J$501*EXACT($I$2:$I$501,I157)*($C$2:$C$501&gt;C157))=0,1,0),0)</f>
        <v>0</v>
      </c>
      <c r="L157">
        <f>IF(K157=1,IF(EXACT(F157,"posted"),IF(E157&lt;=Control!$B$2,1,0),0),0)</f>
        <v>0</v>
      </c>
      <c r="M157">
        <f>IF(A157="",0,SUMPRODUCT(EXACT(Rates!$A$2:$A$4,G157)*Rates!$B$2:$B$4))</f>
        <v>0</v>
      </c>
      <c r="N157">
        <f>IF(L157=1,ROUND(ROUND(H157*M157*100,6),0),0)</f>
        <v>0</v>
      </c>
    </row>
    <row r="158">
      <c r="I158" t="str">
        <f>IF(A158="","",LEN(A158)&amp;"|"&amp;A158&amp;B158)</f>
        <v/>
      </c>
      <c r="J158">
        <f>IF(A158="",0,IF(D158&lt;=Control!$B$2,1,0))</f>
        <v>0</v>
      </c>
      <c r="K158">
        <f>IF(J158=1,IF(SUMPRODUCT($J$2:$J$501*EXACT($I$2:$I$501,I158)*($C$2:$C$501&gt;C158))=0,1,0),0)</f>
        <v>0</v>
      </c>
      <c r="L158">
        <f>IF(K158=1,IF(EXACT(F158,"posted"),IF(E158&lt;=Control!$B$2,1,0),0),0)</f>
        <v>0</v>
      </c>
      <c r="M158">
        <f>IF(A158="",0,SUMPRODUCT(EXACT(Rates!$A$2:$A$4,G158)*Rates!$B$2:$B$4))</f>
        <v>0</v>
      </c>
      <c r="N158">
        <f>IF(L158=1,ROUND(ROUND(H158*M158*100,6),0),0)</f>
        <v>0</v>
      </c>
    </row>
    <row r="159">
      <c r="I159" t="str">
        <f>IF(A159="","",LEN(A159)&amp;"|"&amp;A159&amp;B159)</f>
        <v/>
      </c>
      <c r="J159">
        <f>IF(A159="",0,IF(D159&lt;=Control!$B$2,1,0))</f>
        <v>0</v>
      </c>
      <c r="K159">
        <f>IF(J159=1,IF(SUMPRODUCT($J$2:$J$501*EXACT($I$2:$I$501,I159)*($C$2:$C$501&gt;C159))=0,1,0),0)</f>
        <v>0</v>
      </c>
      <c r="L159">
        <f>IF(K159=1,IF(EXACT(F159,"posted"),IF(E159&lt;=Control!$B$2,1,0),0),0)</f>
        <v>0</v>
      </c>
      <c r="M159">
        <f>IF(A159="",0,SUMPRODUCT(EXACT(Rates!$A$2:$A$4,G159)*Rates!$B$2:$B$4))</f>
        <v>0</v>
      </c>
      <c r="N159">
        <f>IF(L159=1,ROUND(ROUND(H159*M159*100,6),0),0)</f>
        <v>0</v>
      </c>
    </row>
    <row r="160">
      <c r="I160" t="str">
        <f>IF(A160="","",LEN(A160)&amp;"|"&amp;A160&amp;B160)</f>
        <v/>
      </c>
      <c r="J160">
        <f>IF(A160="",0,IF(D160&lt;=Control!$B$2,1,0))</f>
        <v>0</v>
      </c>
      <c r="K160">
        <f>IF(J160=1,IF(SUMPRODUCT($J$2:$J$501*EXACT($I$2:$I$501,I160)*($C$2:$C$501&gt;C160))=0,1,0),0)</f>
        <v>0</v>
      </c>
      <c r="L160">
        <f>IF(K160=1,IF(EXACT(F160,"posted"),IF(E160&lt;=Control!$B$2,1,0),0),0)</f>
        <v>0</v>
      </c>
      <c r="M160">
        <f>IF(A160="",0,SUMPRODUCT(EXACT(Rates!$A$2:$A$4,G160)*Rates!$B$2:$B$4))</f>
        <v>0</v>
      </c>
      <c r="N160">
        <f>IF(L160=1,ROUND(ROUND(H160*M160*100,6),0),0)</f>
        <v>0</v>
      </c>
    </row>
    <row r="161">
      <c r="I161" t="str">
        <f>IF(A161="","",LEN(A161)&amp;"|"&amp;A161&amp;B161)</f>
        <v/>
      </c>
      <c r="J161">
        <f>IF(A161="",0,IF(D161&lt;=Control!$B$2,1,0))</f>
        <v>0</v>
      </c>
      <c r="K161">
        <f>IF(J161=1,IF(SUMPRODUCT($J$2:$J$501*EXACT($I$2:$I$501,I161)*($C$2:$C$501&gt;C161))=0,1,0),0)</f>
        <v>0</v>
      </c>
      <c r="L161">
        <f>IF(K161=1,IF(EXACT(F161,"posted"),IF(E161&lt;=Control!$B$2,1,0),0),0)</f>
        <v>0</v>
      </c>
      <c r="M161">
        <f>IF(A161="",0,SUMPRODUCT(EXACT(Rates!$A$2:$A$4,G161)*Rates!$B$2:$B$4))</f>
        <v>0</v>
      </c>
      <c r="N161">
        <f>IF(L161=1,ROUND(ROUND(H161*M161*100,6),0),0)</f>
        <v>0</v>
      </c>
    </row>
    <row r="162">
      <c r="I162" t="str">
        <f>IF(A162="","",LEN(A162)&amp;"|"&amp;A162&amp;B162)</f>
        <v/>
      </c>
      <c r="J162">
        <f>IF(A162="",0,IF(D162&lt;=Control!$B$2,1,0))</f>
        <v>0</v>
      </c>
      <c r="K162">
        <f>IF(J162=1,IF(SUMPRODUCT($J$2:$J$501*EXACT($I$2:$I$501,I162)*($C$2:$C$501&gt;C162))=0,1,0),0)</f>
        <v>0</v>
      </c>
      <c r="L162">
        <f>IF(K162=1,IF(EXACT(F162,"posted"),IF(E162&lt;=Control!$B$2,1,0),0),0)</f>
        <v>0</v>
      </c>
      <c r="M162">
        <f>IF(A162="",0,SUMPRODUCT(EXACT(Rates!$A$2:$A$4,G162)*Rates!$B$2:$B$4))</f>
        <v>0</v>
      </c>
      <c r="N162">
        <f>IF(L162=1,ROUND(ROUND(H162*M162*100,6),0),0)</f>
        <v>0</v>
      </c>
    </row>
    <row r="163">
      <c r="I163" t="str">
        <f>IF(A163="","",LEN(A163)&amp;"|"&amp;A163&amp;B163)</f>
        <v/>
      </c>
      <c r="J163">
        <f>IF(A163="",0,IF(D163&lt;=Control!$B$2,1,0))</f>
        <v>0</v>
      </c>
      <c r="K163">
        <f>IF(J163=1,IF(SUMPRODUCT($J$2:$J$501*EXACT($I$2:$I$501,I163)*($C$2:$C$501&gt;C163))=0,1,0),0)</f>
        <v>0</v>
      </c>
      <c r="L163">
        <f>IF(K163=1,IF(EXACT(F163,"posted"),IF(E163&lt;=Control!$B$2,1,0),0),0)</f>
        <v>0</v>
      </c>
      <c r="M163">
        <f>IF(A163="",0,SUMPRODUCT(EXACT(Rates!$A$2:$A$4,G163)*Rates!$B$2:$B$4))</f>
        <v>0</v>
      </c>
      <c r="N163">
        <f>IF(L163=1,ROUND(ROUND(H163*M163*100,6),0),0)</f>
        <v>0</v>
      </c>
    </row>
    <row r="164">
      <c r="I164" t="str">
        <f>IF(A164="","",LEN(A164)&amp;"|"&amp;A164&amp;B164)</f>
        <v/>
      </c>
      <c r="J164">
        <f>IF(A164="",0,IF(D164&lt;=Control!$B$2,1,0))</f>
        <v>0</v>
      </c>
      <c r="K164">
        <f>IF(J164=1,IF(SUMPRODUCT($J$2:$J$501*EXACT($I$2:$I$501,I164)*($C$2:$C$501&gt;C164))=0,1,0),0)</f>
        <v>0</v>
      </c>
      <c r="L164">
        <f>IF(K164=1,IF(EXACT(F164,"posted"),IF(E164&lt;=Control!$B$2,1,0),0),0)</f>
        <v>0</v>
      </c>
      <c r="M164">
        <f>IF(A164="",0,SUMPRODUCT(EXACT(Rates!$A$2:$A$4,G164)*Rates!$B$2:$B$4))</f>
        <v>0</v>
      </c>
      <c r="N164">
        <f>IF(L164=1,ROUND(ROUND(H164*M164*100,6),0),0)</f>
        <v>0</v>
      </c>
    </row>
    <row r="165">
      <c r="I165" t="str">
        <f>IF(A165="","",LEN(A165)&amp;"|"&amp;A165&amp;B165)</f>
        <v/>
      </c>
      <c r="J165">
        <f>IF(A165="",0,IF(D165&lt;=Control!$B$2,1,0))</f>
        <v>0</v>
      </c>
      <c r="K165">
        <f>IF(J165=1,IF(SUMPRODUCT($J$2:$J$501*EXACT($I$2:$I$501,I165)*($C$2:$C$501&gt;C165))=0,1,0),0)</f>
        <v>0</v>
      </c>
      <c r="L165">
        <f>IF(K165=1,IF(EXACT(F165,"posted"),IF(E165&lt;=Control!$B$2,1,0),0),0)</f>
        <v>0</v>
      </c>
      <c r="M165">
        <f>IF(A165="",0,SUMPRODUCT(EXACT(Rates!$A$2:$A$4,G165)*Rates!$B$2:$B$4))</f>
        <v>0</v>
      </c>
      <c r="N165">
        <f>IF(L165=1,ROUND(ROUND(H165*M165*100,6),0),0)</f>
        <v>0</v>
      </c>
    </row>
    <row r="166">
      <c r="I166" t="str">
        <f>IF(A166="","",LEN(A166)&amp;"|"&amp;A166&amp;B166)</f>
        <v/>
      </c>
      <c r="J166">
        <f>IF(A166="",0,IF(D166&lt;=Control!$B$2,1,0))</f>
        <v>0</v>
      </c>
      <c r="K166">
        <f>IF(J166=1,IF(SUMPRODUCT($J$2:$J$501*EXACT($I$2:$I$501,I166)*($C$2:$C$501&gt;C166))=0,1,0),0)</f>
        <v>0</v>
      </c>
      <c r="L166">
        <f>IF(K166=1,IF(EXACT(F166,"posted"),IF(E166&lt;=Control!$B$2,1,0),0),0)</f>
        <v>0</v>
      </c>
      <c r="M166">
        <f>IF(A166="",0,SUMPRODUCT(EXACT(Rates!$A$2:$A$4,G166)*Rates!$B$2:$B$4))</f>
        <v>0</v>
      </c>
      <c r="N166">
        <f>IF(L166=1,ROUND(ROUND(H166*M166*100,6),0),0)</f>
        <v>0</v>
      </c>
    </row>
    <row r="167">
      <c r="I167" t="str">
        <f>IF(A167="","",LEN(A167)&amp;"|"&amp;A167&amp;B167)</f>
        <v/>
      </c>
      <c r="J167">
        <f>IF(A167="",0,IF(D167&lt;=Control!$B$2,1,0))</f>
        <v>0</v>
      </c>
      <c r="K167">
        <f>IF(J167=1,IF(SUMPRODUCT($J$2:$J$501*EXACT($I$2:$I$501,I167)*($C$2:$C$501&gt;C167))=0,1,0),0)</f>
        <v>0</v>
      </c>
      <c r="L167">
        <f>IF(K167=1,IF(EXACT(F167,"posted"),IF(E167&lt;=Control!$B$2,1,0),0),0)</f>
        <v>0</v>
      </c>
      <c r="M167">
        <f>IF(A167="",0,SUMPRODUCT(EXACT(Rates!$A$2:$A$4,G167)*Rates!$B$2:$B$4))</f>
        <v>0</v>
      </c>
      <c r="N167">
        <f>IF(L167=1,ROUND(ROUND(H167*M167*100,6),0),0)</f>
        <v>0</v>
      </c>
    </row>
    <row r="168">
      <c r="I168" t="str">
        <f>IF(A168="","",LEN(A168)&amp;"|"&amp;A168&amp;B168)</f>
        <v/>
      </c>
      <c r="J168">
        <f>IF(A168="",0,IF(D168&lt;=Control!$B$2,1,0))</f>
        <v>0</v>
      </c>
      <c r="K168">
        <f>IF(J168=1,IF(SUMPRODUCT($J$2:$J$501*EXACT($I$2:$I$501,I168)*($C$2:$C$501&gt;C168))=0,1,0),0)</f>
        <v>0</v>
      </c>
      <c r="L168">
        <f>IF(K168=1,IF(EXACT(F168,"posted"),IF(E168&lt;=Control!$B$2,1,0),0),0)</f>
        <v>0</v>
      </c>
      <c r="M168">
        <f>IF(A168="",0,SUMPRODUCT(EXACT(Rates!$A$2:$A$4,G168)*Rates!$B$2:$B$4))</f>
        <v>0</v>
      </c>
      <c r="N168">
        <f>IF(L168=1,ROUND(ROUND(H168*M168*100,6),0),0)</f>
        <v>0</v>
      </c>
    </row>
    <row r="169">
      <c r="I169" t="str">
        <f>IF(A169="","",LEN(A169)&amp;"|"&amp;A169&amp;B169)</f>
        <v/>
      </c>
      <c r="J169">
        <f>IF(A169="",0,IF(D169&lt;=Control!$B$2,1,0))</f>
        <v>0</v>
      </c>
      <c r="K169">
        <f>IF(J169=1,IF(SUMPRODUCT($J$2:$J$501*EXACT($I$2:$I$501,I169)*($C$2:$C$501&gt;C169))=0,1,0),0)</f>
        <v>0</v>
      </c>
      <c r="L169">
        <f>IF(K169=1,IF(EXACT(F169,"posted"),IF(E169&lt;=Control!$B$2,1,0),0),0)</f>
        <v>0</v>
      </c>
      <c r="M169">
        <f>IF(A169="",0,SUMPRODUCT(EXACT(Rates!$A$2:$A$4,G169)*Rates!$B$2:$B$4))</f>
        <v>0</v>
      </c>
      <c r="N169">
        <f>IF(L169=1,ROUND(ROUND(H169*M169*100,6),0),0)</f>
        <v>0</v>
      </c>
    </row>
    <row r="170">
      <c r="I170" t="str">
        <f>IF(A170="","",LEN(A170)&amp;"|"&amp;A170&amp;B170)</f>
        <v/>
      </c>
      <c r="J170">
        <f>IF(A170="",0,IF(D170&lt;=Control!$B$2,1,0))</f>
        <v>0</v>
      </c>
      <c r="K170">
        <f>IF(J170=1,IF(SUMPRODUCT($J$2:$J$501*EXACT($I$2:$I$501,I170)*($C$2:$C$501&gt;C170))=0,1,0),0)</f>
        <v>0</v>
      </c>
      <c r="L170">
        <f>IF(K170=1,IF(EXACT(F170,"posted"),IF(E170&lt;=Control!$B$2,1,0),0),0)</f>
        <v>0</v>
      </c>
      <c r="M170">
        <f>IF(A170="",0,SUMPRODUCT(EXACT(Rates!$A$2:$A$4,G170)*Rates!$B$2:$B$4))</f>
        <v>0</v>
      </c>
      <c r="N170">
        <f>IF(L170=1,ROUND(ROUND(H170*M170*100,6),0),0)</f>
        <v>0</v>
      </c>
    </row>
    <row r="171">
      <c r="I171" t="str">
        <f>IF(A171="","",LEN(A171)&amp;"|"&amp;A171&amp;B171)</f>
        <v/>
      </c>
      <c r="J171">
        <f>IF(A171="",0,IF(D171&lt;=Control!$B$2,1,0))</f>
        <v>0</v>
      </c>
      <c r="K171">
        <f>IF(J171=1,IF(SUMPRODUCT($J$2:$J$501*EXACT($I$2:$I$501,I171)*($C$2:$C$501&gt;C171))=0,1,0),0)</f>
        <v>0</v>
      </c>
      <c r="L171">
        <f>IF(K171=1,IF(EXACT(F171,"posted"),IF(E171&lt;=Control!$B$2,1,0),0),0)</f>
        <v>0</v>
      </c>
      <c r="M171">
        <f>IF(A171="",0,SUMPRODUCT(EXACT(Rates!$A$2:$A$4,G171)*Rates!$B$2:$B$4))</f>
        <v>0</v>
      </c>
      <c r="N171">
        <f>IF(L171=1,ROUND(ROUND(H171*M171*100,6),0),0)</f>
        <v>0</v>
      </c>
    </row>
    <row r="172">
      <c r="I172" t="str">
        <f>IF(A172="","",LEN(A172)&amp;"|"&amp;A172&amp;B172)</f>
        <v/>
      </c>
      <c r="J172">
        <f>IF(A172="",0,IF(D172&lt;=Control!$B$2,1,0))</f>
        <v>0</v>
      </c>
      <c r="K172">
        <f>IF(J172=1,IF(SUMPRODUCT($J$2:$J$501*EXACT($I$2:$I$501,I172)*($C$2:$C$501&gt;C172))=0,1,0),0)</f>
        <v>0</v>
      </c>
      <c r="L172">
        <f>IF(K172=1,IF(EXACT(F172,"posted"),IF(E172&lt;=Control!$B$2,1,0),0),0)</f>
        <v>0</v>
      </c>
      <c r="M172">
        <f>IF(A172="",0,SUMPRODUCT(EXACT(Rates!$A$2:$A$4,G172)*Rates!$B$2:$B$4))</f>
        <v>0</v>
      </c>
      <c r="N172">
        <f>IF(L172=1,ROUND(ROUND(H172*M172*100,6),0),0)</f>
        <v>0</v>
      </c>
    </row>
    <row r="173">
      <c r="I173" t="str">
        <f>IF(A173="","",LEN(A173)&amp;"|"&amp;A173&amp;B173)</f>
        <v/>
      </c>
      <c r="J173">
        <f>IF(A173="",0,IF(D173&lt;=Control!$B$2,1,0))</f>
        <v>0</v>
      </c>
      <c r="K173">
        <f>IF(J173=1,IF(SUMPRODUCT($J$2:$J$501*EXACT($I$2:$I$501,I173)*($C$2:$C$501&gt;C173))=0,1,0),0)</f>
        <v>0</v>
      </c>
      <c r="L173">
        <f>IF(K173=1,IF(EXACT(F173,"posted"),IF(E173&lt;=Control!$B$2,1,0),0),0)</f>
        <v>0</v>
      </c>
      <c r="M173">
        <f>IF(A173="",0,SUMPRODUCT(EXACT(Rates!$A$2:$A$4,G173)*Rates!$B$2:$B$4))</f>
        <v>0</v>
      </c>
      <c r="N173">
        <f>IF(L173=1,ROUND(ROUND(H173*M173*100,6),0),0)</f>
        <v>0</v>
      </c>
    </row>
    <row r="174">
      <c r="I174" t="str">
        <f>IF(A174="","",LEN(A174)&amp;"|"&amp;A174&amp;B174)</f>
        <v/>
      </c>
      <c r="J174">
        <f>IF(A174="",0,IF(D174&lt;=Control!$B$2,1,0))</f>
        <v>0</v>
      </c>
      <c r="K174">
        <f>IF(J174=1,IF(SUMPRODUCT($J$2:$J$501*EXACT($I$2:$I$501,I174)*($C$2:$C$501&gt;C174))=0,1,0),0)</f>
        <v>0</v>
      </c>
      <c r="L174">
        <f>IF(K174=1,IF(EXACT(F174,"posted"),IF(E174&lt;=Control!$B$2,1,0),0),0)</f>
        <v>0</v>
      </c>
      <c r="M174">
        <f>IF(A174="",0,SUMPRODUCT(EXACT(Rates!$A$2:$A$4,G174)*Rates!$B$2:$B$4))</f>
        <v>0</v>
      </c>
      <c r="N174">
        <f>IF(L174=1,ROUND(ROUND(H174*M174*100,6),0),0)</f>
        <v>0</v>
      </c>
    </row>
    <row r="175">
      <c r="I175" t="str">
        <f>IF(A175="","",LEN(A175)&amp;"|"&amp;A175&amp;B175)</f>
        <v/>
      </c>
      <c r="J175">
        <f>IF(A175="",0,IF(D175&lt;=Control!$B$2,1,0))</f>
        <v>0</v>
      </c>
      <c r="K175">
        <f>IF(J175=1,IF(SUMPRODUCT($J$2:$J$501*EXACT($I$2:$I$501,I175)*($C$2:$C$501&gt;C175))=0,1,0),0)</f>
        <v>0</v>
      </c>
      <c r="L175">
        <f>IF(K175=1,IF(EXACT(F175,"posted"),IF(E175&lt;=Control!$B$2,1,0),0),0)</f>
        <v>0</v>
      </c>
      <c r="M175">
        <f>IF(A175="",0,SUMPRODUCT(EXACT(Rates!$A$2:$A$4,G175)*Rates!$B$2:$B$4))</f>
        <v>0</v>
      </c>
      <c r="N175">
        <f>IF(L175=1,ROUND(ROUND(H175*M175*100,6),0),0)</f>
        <v>0</v>
      </c>
    </row>
    <row r="176">
      <c r="I176" t="str">
        <f>IF(A176="","",LEN(A176)&amp;"|"&amp;A176&amp;B176)</f>
        <v/>
      </c>
      <c r="J176">
        <f>IF(A176="",0,IF(D176&lt;=Control!$B$2,1,0))</f>
        <v>0</v>
      </c>
      <c r="K176">
        <f>IF(J176=1,IF(SUMPRODUCT($J$2:$J$501*EXACT($I$2:$I$501,I176)*($C$2:$C$501&gt;C176))=0,1,0),0)</f>
        <v>0</v>
      </c>
      <c r="L176">
        <f>IF(K176=1,IF(EXACT(F176,"posted"),IF(E176&lt;=Control!$B$2,1,0),0),0)</f>
        <v>0</v>
      </c>
      <c r="M176">
        <f>IF(A176="",0,SUMPRODUCT(EXACT(Rates!$A$2:$A$4,G176)*Rates!$B$2:$B$4))</f>
        <v>0</v>
      </c>
      <c r="N176">
        <f>IF(L176=1,ROUND(ROUND(H176*M176*100,6),0),0)</f>
        <v>0</v>
      </c>
    </row>
    <row r="177">
      <c r="I177" t="str">
        <f>IF(A177="","",LEN(A177)&amp;"|"&amp;A177&amp;B177)</f>
        <v/>
      </c>
      <c r="J177">
        <f>IF(A177="",0,IF(D177&lt;=Control!$B$2,1,0))</f>
        <v>0</v>
      </c>
      <c r="K177">
        <f>IF(J177=1,IF(SUMPRODUCT($J$2:$J$501*EXACT($I$2:$I$501,I177)*($C$2:$C$501&gt;C177))=0,1,0),0)</f>
        <v>0</v>
      </c>
      <c r="L177">
        <f>IF(K177=1,IF(EXACT(F177,"posted"),IF(E177&lt;=Control!$B$2,1,0),0),0)</f>
        <v>0</v>
      </c>
      <c r="M177">
        <f>IF(A177="",0,SUMPRODUCT(EXACT(Rates!$A$2:$A$4,G177)*Rates!$B$2:$B$4))</f>
        <v>0</v>
      </c>
      <c r="N177">
        <f>IF(L177=1,ROUND(ROUND(H177*M177*100,6),0),0)</f>
        <v>0</v>
      </c>
    </row>
    <row r="178">
      <c r="I178" t="str">
        <f>IF(A178="","",LEN(A178)&amp;"|"&amp;A178&amp;B178)</f>
        <v/>
      </c>
      <c r="J178">
        <f>IF(A178="",0,IF(D178&lt;=Control!$B$2,1,0))</f>
        <v>0</v>
      </c>
      <c r="K178">
        <f>IF(J178=1,IF(SUMPRODUCT($J$2:$J$501*EXACT($I$2:$I$501,I178)*($C$2:$C$501&gt;C178))=0,1,0),0)</f>
        <v>0</v>
      </c>
      <c r="L178">
        <f>IF(K178=1,IF(EXACT(F178,"posted"),IF(E178&lt;=Control!$B$2,1,0),0),0)</f>
        <v>0</v>
      </c>
      <c r="M178">
        <f>IF(A178="",0,SUMPRODUCT(EXACT(Rates!$A$2:$A$4,G178)*Rates!$B$2:$B$4))</f>
        <v>0</v>
      </c>
      <c r="N178">
        <f>IF(L178=1,ROUND(ROUND(H178*M178*100,6),0),0)</f>
        <v>0</v>
      </c>
    </row>
    <row r="179">
      <c r="I179" t="str">
        <f>IF(A179="","",LEN(A179)&amp;"|"&amp;A179&amp;B179)</f>
        <v/>
      </c>
      <c r="J179">
        <f>IF(A179="",0,IF(D179&lt;=Control!$B$2,1,0))</f>
        <v>0</v>
      </c>
      <c r="K179">
        <f>IF(J179=1,IF(SUMPRODUCT($J$2:$J$501*EXACT($I$2:$I$501,I179)*($C$2:$C$501&gt;C179))=0,1,0),0)</f>
        <v>0</v>
      </c>
      <c r="L179">
        <f>IF(K179=1,IF(EXACT(F179,"posted"),IF(E179&lt;=Control!$B$2,1,0),0),0)</f>
        <v>0</v>
      </c>
      <c r="M179">
        <f>IF(A179="",0,SUMPRODUCT(EXACT(Rates!$A$2:$A$4,G179)*Rates!$B$2:$B$4))</f>
        <v>0</v>
      </c>
      <c r="N179">
        <f>IF(L179=1,ROUND(ROUND(H179*M179*100,6),0),0)</f>
        <v>0</v>
      </c>
    </row>
    <row r="180">
      <c r="I180" t="str">
        <f>IF(A180="","",LEN(A180)&amp;"|"&amp;A180&amp;B180)</f>
        <v/>
      </c>
      <c r="J180">
        <f>IF(A180="",0,IF(D180&lt;=Control!$B$2,1,0))</f>
        <v>0</v>
      </c>
      <c r="K180">
        <f>IF(J180=1,IF(SUMPRODUCT($J$2:$J$501*EXACT($I$2:$I$501,I180)*($C$2:$C$501&gt;C180))=0,1,0),0)</f>
        <v>0</v>
      </c>
      <c r="L180">
        <f>IF(K180=1,IF(EXACT(F180,"posted"),IF(E180&lt;=Control!$B$2,1,0),0),0)</f>
        <v>0</v>
      </c>
      <c r="M180">
        <f>IF(A180="",0,SUMPRODUCT(EXACT(Rates!$A$2:$A$4,G180)*Rates!$B$2:$B$4))</f>
        <v>0</v>
      </c>
      <c r="N180">
        <f>IF(L180=1,ROUND(ROUND(H180*M180*100,6),0),0)</f>
        <v>0</v>
      </c>
    </row>
    <row r="181">
      <c r="I181" t="str">
        <f>IF(A181="","",LEN(A181)&amp;"|"&amp;A181&amp;B181)</f>
        <v/>
      </c>
      <c r="J181">
        <f>IF(A181="",0,IF(D181&lt;=Control!$B$2,1,0))</f>
        <v>0</v>
      </c>
      <c r="K181">
        <f>IF(J181=1,IF(SUMPRODUCT($J$2:$J$501*EXACT($I$2:$I$501,I181)*($C$2:$C$501&gt;C181))=0,1,0),0)</f>
        <v>0</v>
      </c>
      <c r="L181">
        <f>IF(K181=1,IF(EXACT(F181,"posted"),IF(E181&lt;=Control!$B$2,1,0),0),0)</f>
        <v>0</v>
      </c>
      <c r="M181">
        <f>IF(A181="",0,SUMPRODUCT(EXACT(Rates!$A$2:$A$4,G181)*Rates!$B$2:$B$4))</f>
        <v>0</v>
      </c>
      <c r="N181">
        <f>IF(L181=1,ROUND(ROUND(H181*M181*100,6),0),0)</f>
        <v>0</v>
      </c>
    </row>
    <row r="182">
      <c r="I182" t="str">
        <f>IF(A182="","",LEN(A182)&amp;"|"&amp;A182&amp;B182)</f>
        <v/>
      </c>
      <c r="J182">
        <f>IF(A182="",0,IF(D182&lt;=Control!$B$2,1,0))</f>
        <v>0</v>
      </c>
      <c r="K182">
        <f>IF(J182=1,IF(SUMPRODUCT($J$2:$J$501*EXACT($I$2:$I$501,I182)*($C$2:$C$501&gt;C182))=0,1,0),0)</f>
        <v>0</v>
      </c>
      <c r="L182">
        <f>IF(K182=1,IF(EXACT(F182,"posted"),IF(E182&lt;=Control!$B$2,1,0),0),0)</f>
        <v>0</v>
      </c>
      <c r="M182">
        <f>IF(A182="",0,SUMPRODUCT(EXACT(Rates!$A$2:$A$4,G182)*Rates!$B$2:$B$4))</f>
        <v>0</v>
      </c>
      <c r="N182">
        <f>IF(L182=1,ROUND(ROUND(H182*M182*100,6),0),0)</f>
        <v>0</v>
      </c>
    </row>
    <row r="183">
      <c r="I183" t="str">
        <f>IF(A183="","",LEN(A183)&amp;"|"&amp;A183&amp;B183)</f>
        <v/>
      </c>
      <c r="J183">
        <f>IF(A183="",0,IF(D183&lt;=Control!$B$2,1,0))</f>
        <v>0</v>
      </c>
      <c r="K183">
        <f>IF(J183=1,IF(SUMPRODUCT($J$2:$J$501*EXACT($I$2:$I$501,I183)*($C$2:$C$501&gt;C183))=0,1,0),0)</f>
        <v>0</v>
      </c>
      <c r="L183">
        <f>IF(K183=1,IF(EXACT(F183,"posted"),IF(E183&lt;=Control!$B$2,1,0),0),0)</f>
        <v>0</v>
      </c>
      <c r="M183">
        <f>IF(A183="",0,SUMPRODUCT(EXACT(Rates!$A$2:$A$4,G183)*Rates!$B$2:$B$4))</f>
        <v>0</v>
      </c>
      <c r="N183">
        <f>IF(L183=1,ROUND(ROUND(H183*M183*100,6),0),0)</f>
        <v>0</v>
      </c>
    </row>
    <row r="184">
      <c r="I184" t="str">
        <f>IF(A184="","",LEN(A184)&amp;"|"&amp;A184&amp;B184)</f>
        <v/>
      </c>
      <c r="J184">
        <f>IF(A184="",0,IF(D184&lt;=Control!$B$2,1,0))</f>
        <v>0</v>
      </c>
      <c r="K184">
        <f>IF(J184=1,IF(SUMPRODUCT($J$2:$J$501*EXACT($I$2:$I$501,I184)*($C$2:$C$501&gt;C184))=0,1,0),0)</f>
        <v>0</v>
      </c>
      <c r="L184">
        <f>IF(K184=1,IF(EXACT(F184,"posted"),IF(E184&lt;=Control!$B$2,1,0),0),0)</f>
        <v>0</v>
      </c>
      <c r="M184">
        <f>IF(A184="",0,SUMPRODUCT(EXACT(Rates!$A$2:$A$4,G184)*Rates!$B$2:$B$4))</f>
        <v>0</v>
      </c>
      <c r="N184">
        <f>IF(L184=1,ROUND(ROUND(H184*M184*100,6),0),0)</f>
        <v>0</v>
      </c>
    </row>
    <row r="185">
      <c r="I185" t="str">
        <f>IF(A185="","",LEN(A185)&amp;"|"&amp;A185&amp;B185)</f>
        <v/>
      </c>
      <c r="J185">
        <f>IF(A185="",0,IF(D185&lt;=Control!$B$2,1,0))</f>
        <v>0</v>
      </c>
      <c r="K185">
        <f>IF(J185=1,IF(SUMPRODUCT($J$2:$J$501*EXACT($I$2:$I$501,I185)*($C$2:$C$501&gt;C185))=0,1,0),0)</f>
        <v>0</v>
      </c>
      <c r="L185">
        <f>IF(K185=1,IF(EXACT(F185,"posted"),IF(E185&lt;=Control!$B$2,1,0),0),0)</f>
        <v>0</v>
      </c>
      <c r="M185">
        <f>IF(A185="",0,SUMPRODUCT(EXACT(Rates!$A$2:$A$4,G185)*Rates!$B$2:$B$4))</f>
        <v>0</v>
      </c>
      <c r="N185">
        <f>IF(L185=1,ROUND(ROUND(H185*M185*100,6),0),0)</f>
        <v>0</v>
      </c>
    </row>
    <row r="186">
      <c r="I186" t="str">
        <f>IF(A186="","",LEN(A186)&amp;"|"&amp;A186&amp;B186)</f>
        <v/>
      </c>
      <c r="J186">
        <f>IF(A186="",0,IF(D186&lt;=Control!$B$2,1,0))</f>
        <v>0</v>
      </c>
      <c r="K186">
        <f>IF(J186=1,IF(SUMPRODUCT($J$2:$J$501*EXACT($I$2:$I$501,I186)*($C$2:$C$501&gt;C186))=0,1,0),0)</f>
        <v>0</v>
      </c>
      <c r="L186">
        <f>IF(K186=1,IF(EXACT(F186,"posted"),IF(E186&lt;=Control!$B$2,1,0),0),0)</f>
        <v>0</v>
      </c>
      <c r="M186">
        <f>IF(A186="",0,SUMPRODUCT(EXACT(Rates!$A$2:$A$4,G186)*Rates!$B$2:$B$4))</f>
        <v>0</v>
      </c>
      <c r="N186">
        <f>IF(L186=1,ROUND(ROUND(H186*M186*100,6),0),0)</f>
        <v>0</v>
      </c>
    </row>
    <row r="187">
      <c r="I187" t="str">
        <f>IF(A187="","",LEN(A187)&amp;"|"&amp;A187&amp;B187)</f>
        <v/>
      </c>
      <c r="J187">
        <f>IF(A187="",0,IF(D187&lt;=Control!$B$2,1,0))</f>
        <v>0</v>
      </c>
      <c r="K187">
        <f>IF(J187=1,IF(SUMPRODUCT($J$2:$J$501*EXACT($I$2:$I$501,I187)*($C$2:$C$501&gt;C187))=0,1,0),0)</f>
        <v>0</v>
      </c>
      <c r="L187">
        <f>IF(K187=1,IF(EXACT(F187,"posted"),IF(E187&lt;=Control!$B$2,1,0),0),0)</f>
        <v>0</v>
      </c>
      <c r="M187">
        <f>IF(A187="",0,SUMPRODUCT(EXACT(Rates!$A$2:$A$4,G187)*Rates!$B$2:$B$4))</f>
        <v>0</v>
      </c>
      <c r="N187">
        <f>IF(L187=1,ROUND(ROUND(H187*M187*100,6),0),0)</f>
        <v>0</v>
      </c>
    </row>
    <row r="188">
      <c r="I188" t="str">
        <f>IF(A188="","",LEN(A188)&amp;"|"&amp;A188&amp;B188)</f>
        <v/>
      </c>
      <c r="J188">
        <f>IF(A188="",0,IF(D188&lt;=Control!$B$2,1,0))</f>
        <v>0</v>
      </c>
      <c r="K188">
        <f>IF(J188=1,IF(SUMPRODUCT($J$2:$J$501*EXACT($I$2:$I$501,I188)*($C$2:$C$501&gt;C188))=0,1,0),0)</f>
        <v>0</v>
      </c>
      <c r="L188">
        <f>IF(K188=1,IF(EXACT(F188,"posted"),IF(E188&lt;=Control!$B$2,1,0),0),0)</f>
        <v>0</v>
      </c>
      <c r="M188">
        <f>IF(A188="",0,SUMPRODUCT(EXACT(Rates!$A$2:$A$4,G188)*Rates!$B$2:$B$4))</f>
        <v>0</v>
      </c>
      <c r="N188">
        <f>IF(L188=1,ROUND(ROUND(H188*M188*100,6),0),0)</f>
        <v>0</v>
      </c>
    </row>
    <row r="189">
      <c r="I189" t="str">
        <f>IF(A189="","",LEN(A189)&amp;"|"&amp;A189&amp;B189)</f>
        <v/>
      </c>
      <c r="J189">
        <f>IF(A189="",0,IF(D189&lt;=Control!$B$2,1,0))</f>
        <v>0</v>
      </c>
      <c r="K189">
        <f>IF(J189=1,IF(SUMPRODUCT($J$2:$J$501*EXACT($I$2:$I$501,I189)*($C$2:$C$501&gt;C189))=0,1,0),0)</f>
        <v>0</v>
      </c>
      <c r="L189">
        <f>IF(K189=1,IF(EXACT(F189,"posted"),IF(E189&lt;=Control!$B$2,1,0),0),0)</f>
        <v>0</v>
      </c>
      <c r="M189">
        <f>IF(A189="",0,SUMPRODUCT(EXACT(Rates!$A$2:$A$4,G189)*Rates!$B$2:$B$4))</f>
        <v>0</v>
      </c>
      <c r="N189">
        <f>IF(L189=1,ROUND(ROUND(H189*M189*100,6),0),0)</f>
        <v>0</v>
      </c>
    </row>
    <row r="190">
      <c r="I190" t="str">
        <f>IF(A190="","",LEN(A190)&amp;"|"&amp;A190&amp;B190)</f>
        <v/>
      </c>
      <c r="J190">
        <f>IF(A190="",0,IF(D190&lt;=Control!$B$2,1,0))</f>
        <v>0</v>
      </c>
      <c r="K190">
        <f>IF(J190=1,IF(SUMPRODUCT($J$2:$J$501*EXACT($I$2:$I$501,I190)*($C$2:$C$501&gt;C190))=0,1,0),0)</f>
        <v>0</v>
      </c>
      <c r="L190">
        <f>IF(K190=1,IF(EXACT(F190,"posted"),IF(E190&lt;=Control!$B$2,1,0),0),0)</f>
        <v>0</v>
      </c>
      <c r="M190">
        <f>IF(A190="",0,SUMPRODUCT(EXACT(Rates!$A$2:$A$4,G190)*Rates!$B$2:$B$4))</f>
        <v>0</v>
      </c>
      <c r="N190">
        <f>IF(L190=1,ROUND(ROUND(H190*M190*100,6),0),0)</f>
        <v>0</v>
      </c>
    </row>
    <row r="191">
      <c r="I191" t="str">
        <f>IF(A191="","",LEN(A191)&amp;"|"&amp;A191&amp;B191)</f>
        <v/>
      </c>
      <c r="J191">
        <f>IF(A191="",0,IF(D191&lt;=Control!$B$2,1,0))</f>
        <v>0</v>
      </c>
      <c r="K191">
        <f>IF(J191=1,IF(SUMPRODUCT($J$2:$J$501*EXACT($I$2:$I$501,I191)*($C$2:$C$501&gt;C191))=0,1,0),0)</f>
        <v>0</v>
      </c>
      <c r="L191">
        <f>IF(K191=1,IF(EXACT(F191,"posted"),IF(E191&lt;=Control!$B$2,1,0),0),0)</f>
        <v>0</v>
      </c>
      <c r="M191">
        <f>IF(A191="",0,SUMPRODUCT(EXACT(Rates!$A$2:$A$4,G191)*Rates!$B$2:$B$4))</f>
        <v>0</v>
      </c>
      <c r="N191">
        <f>IF(L191=1,ROUND(ROUND(H191*M191*100,6),0),0)</f>
        <v>0</v>
      </c>
    </row>
    <row r="192">
      <c r="I192" t="str">
        <f>IF(A192="","",LEN(A192)&amp;"|"&amp;A192&amp;B192)</f>
        <v/>
      </c>
      <c r="J192">
        <f>IF(A192="",0,IF(D192&lt;=Control!$B$2,1,0))</f>
        <v>0</v>
      </c>
      <c r="K192">
        <f>IF(J192=1,IF(SUMPRODUCT($J$2:$J$501*EXACT($I$2:$I$501,I192)*($C$2:$C$501&gt;C192))=0,1,0),0)</f>
        <v>0</v>
      </c>
      <c r="L192">
        <f>IF(K192=1,IF(EXACT(F192,"posted"),IF(E192&lt;=Control!$B$2,1,0),0),0)</f>
        <v>0</v>
      </c>
      <c r="M192">
        <f>IF(A192="",0,SUMPRODUCT(EXACT(Rates!$A$2:$A$4,G192)*Rates!$B$2:$B$4))</f>
        <v>0</v>
      </c>
      <c r="N192">
        <f>IF(L192=1,ROUND(ROUND(H192*M192*100,6),0),0)</f>
        <v>0</v>
      </c>
    </row>
    <row r="193">
      <c r="I193" t="str">
        <f>IF(A193="","",LEN(A193)&amp;"|"&amp;A193&amp;B193)</f>
        <v/>
      </c>
      <c r="J193">
        <f>IF(A193="",0,IF(D193&lt;=Control!$B$2,1,0))</f>
        <v>0</v>
      </c>
      <c r="K193">
        <f>IF(J193=1,IF(SUMPRODUCT($J$2:$J$501*EXACT($I$2:$I$501,I193)*($C$2:$C$501&gt;C193))=0,1,0),0)</f>
        <v>0</v>
      </c>
      <c r="L193">
        <f>IF(K193=1,IF(EXACT(F193,"posted"),IF(E193&lt;=Control!$B$2,1,0),0),0)</f>
        <v>0</v>
      </c>
      <c r="M193">
        <f>IF(A193="",0,SUMPRODUCT(EXACT(Rates!$A$2:$A$4,G193)*Rates!$B$2:$B$4))</f>
        <v>0</v>
      </c>
      <c r="N193">
        <f>IF(L193=1,ROUND(ROUND(H193*M193*100,6),0),0)</f>
        <v>0</v>
      </c>
    </row>
    <row r="194">
      <c r="I194" t="str">
        <f>IF(A194="","",LEN(A194)&amp;"|"&amp;A194&amp;B194)</f>
        <v/>
      </c>
      <c r="J194">
        <f>IF(A194="",0,IF(D194&lt;=Control!$B$2,1,0))</f>
        <v>0</v>
      </c>
      <c r="K194">
        <f>IF(J194=1,IF(SUMPRODUCT($J$2:$J$501*EXACT($I$2:$I$501,I194)*($C$2:$C$501&gt;C194))=0,1,0),0)</f>
        <v>0</v>
      </c>
      <c r="L194">
        <f>IF(K194=1,IF(EXACT(F194,"posted"),IF(E194&lt;=Control!$B$2,1,0),0),0)</f>
        <v>0</v>
      </c>
      <c r="M194">
        <f>IF(A194="",0,SUMPRODUCT(EXACT(Rates!$A$2:$A$4,G194)*Rates!$B$2:$B$4))</f>
        <v>0</v>
      </c>
      <c r="N194">
        <f>IF(L194=1,ROUND(ROUND(H194*M194*100,6),0),0)</f>
        <v>0</v>
      </c>
    </row>
    <row r="195">
      <c r="I195" t="str">
        <f>IF(A195="","",LEN(A195)&amp;"|"&amp;A195&amp;B195)</f>
        <v/>
      </c>
      <c r="J195">
        <f>IF(A195="",0,IF(D195&lt;=Control!$B$2,1,0))</f>
        <v>0</v>
      </c>
      <c r="K195">
        <f>IF(J195=1,IF(SUMPRODUCT($J$2:$J$501*EXACT($I$2:$I$501,I195)*($C$2:$C$501&gt;C195))=0,1,0),0)</f>
        <v>0</v>
      </c>
      <c r="L195">
        <f>IF(K195=1,IF(EXACT(F195,"posted"),IF(E195&lt;=Control!$B$2,1,0),0),0)</f>
        <v>0</v>
      </c>
      <c r="M195">
        <f>IF(A195="",0,SUMPRODUCT(EXACT(Rates!$A$2:$A$4,G195)*Rates!$B$2:$B$4))</f>
        <v>0</v>
      </c>
      <c r="N195">
        <f>IF(L195=1,ROUND(ROUND(H195*M195*100,6),0),0)</f>
        <v>0</v>
      </c>
    </row>
    <row r="196">
      <c r="I196" t="str">
        <f>IF(A196="","",LEN(A196)&amp;"|"&amp;A196&amp;B196)</f>
        <v/>
      </c>
      <c r="J196">
        <f>IF(A196="",0,IF(D196&lt;=Control!$B$2,1,0))</f>
        <v>0</v>
      </c>
      <c r="K196">
        <f>IF(J196=1,IF(SUMPRODUCT($J$2:$J$501*EXACT($I$2:$I$501,I196)*($C$2:$C$501&gt;C196))=0,1,0),0)</f>
        <v>0</v>
      </c>
      <c r="L196">
        <f>IF(K196=1,IF(EXACT(F196,"posted"),IF(E196&lt;=Control!$B$2,1,0),0),0)</f>
        <v>0</v>
      </c>
      <c r="M196">
        <f>IF(A196="",0,SUMPRODUCT(EXACT(Rates!$A$2:$A$4,G196)*Rates!$B$2:$B$4))</f>
        <v>0</v>
      </c>
      <c r="N196">
        <f>IF(L196=1,ROUND(ROUND(H196*M196*100,6),0),0)</f>
        <v>0</v>
      </c>
    </row>
    <row r="197">
      <c r="I197" t="str">
        <f>IF(A197="","",LEN(A197)&amp;"|"&amp;A197&amp;B197)</f>
        <v/>
      </c>
      <c r="J197">
        <f>IF(A197="",0,IF(D197&lt;=Control!$B$2,1,0))</f>
        <v>0</v>
      </c>
      <c r="K197">
        <f>IF(J197=1,IF(SUMPRODUCT($J$2:$J$501*EXACT($I$2:$I$501,I197)*($C$2:$C$501&gt;C197))=0,1,0),0)</f>
        <v>0</v>
      </c>
      <c r="L197">
        <f>IF(K197=1,IF(EXACT(F197,"posted"),IF(E197&lt;=Control!$B$2,1,0),0),0)</f>
        <v>0</v>
      </c>
      <c r="M197">
        <f>IF(A197="",0,SUMPRODUCT(EXACT(Rates!$A$2:$A$4,G197)*Rates!$B$2:$B$4))</f>
        <v>0</v>
      </c>
      <c r="N197">
        <f>IF(L197=1,ROUND(ROUND(H197*M197*100,6),0),0)</f>
        <v>0</v>
      </c>
    </row>
    <row r="198">
      <c r="I198" t="str">
        <f>IF(A198="","",LEN(A198)&amp;"|"&amp;A198&amp;B198)</f>
        <v/>
      </c>
      <c r="J198">
        <f>IF(A198="",0,IF(D198&lt;=Control!$B$2,1,0))</f>
        <v>0</v>
      </c>
      <c r="K198">
        <f>IF(J198=1,IF(SUMPRODUCT($J$2:$J$501*EXACT($I$2:$I$501,I198)*($C$2:$C$501&gt;C198))=0,1,0),0)</f>
        <v>0</v>
      </c>
      <c r="L198">
        <f>IF(K198=1,IF(EXACT(F198,"posted"),IF(E198&lt;=Control!$B$2,1,0),0),0)</f>
        <v>0</v>
      </c>
      <c r="M198">
        <f>IF(A198="",0,SUMPRODUCT(EXACT(Rates!$A$2:$A$4,G198)*Rates!$B$2:$B$4))</f>
        <v>0</v>
      </c>
      <c r="N198">
        <f>IF(L198=1,ROUND(ROUND(H198*M198*100,6),0),0)</f>
        <v>0</v>
      </c>
    </row>
    <row r="199">
      <c r="I199" t="str">
        <f>IF(A199="","",LEN(A199)&amp;"|"&amp;A199&amp;B199)</f>
        <v/>
      </c>
      <c r="J199">
        <f>IF(A199="",0,IF(D199&lt;=Control!$B$2,1,0))</f>
        <v>0</v>
      </c>
      <c r="K199">
        <f>IF(J199=1,IF(SUMPRODUCT($J$2:$J$501*EXACT($I$2:$I$501,I199)*($C$2:$C$501&gt;C199))=0,1,0),0)</f>
        <v>0</v>
      </c>
      <c r="L199">
        <f>IF(K199=1,IF(EXACT(F199,"posted"),IF(E199&lt;=Control!$B$2,1,0),0),0)</f>
        <v>0</v>
      </c>
      <c r="M199">
        <f>IF(A199="",0,SUMPRODUCT(EXACT(Rates!$A$2:$A$4,G199)*Rates!$B$2:$B$4))</f>
        <v>0</v>
      </c>
      <c r="N199">
        <f>IF(L199=1,ROUND(ROUND(H199*M199*100,6),0),0)</f>
        <v>0</v>
      </c>
    </row>
    <row r="200">
      <c r="I200" t="str">
        <f>IF(A200="","",LEN(A200)&amp;"|"&amp;A200&amp;B200)</f>
        <v/>
      </c>
      <c r="J200">
        <f>IF(A200="",0,IF(D200&lt;=Control!$B$2,1,0))</f>
        <v>0</v>
      </c>
      <c r="K200">
        <f>IF(J200=1,IF(SUMPRODUCT($J$2:$J$501*EXACT($I$2:$I$501,I200)*($C$2:$C$501&gt;C200))=0,1,0),0)</f>
        <v>0</v>
      </c>
      <c r="L200">
        <f>IF(K200=1,IF(EXACT(F200,"posted"),IF(E200&lt;=Control!$B$2,1,0),0),0)</f>
        <v>0</v>
      </c>
      <c r="M200">
        <f>IF(A200="",0,SUMPRODUCT(EXACT(Rates!$A$2:$A$4,G200)*Rates!$B$2:$B$4))</f>
        <v>0</v>
      </c>
      <c r="N200">
        <f>IF(L200=1,ROUND(ROUND(H200*M200*100,6),0),0)</f>
        <v>0</v>
      </c>
    </row>
    <row r="201">
      <c r="I201" t="str">
        <f>IF(A201="","",LEN(A201)&amp;"|"&amp;A201&amp;B201)</f>
        <v/>
      </c>
      <c r="J201">
        <f>IF(A201="",0,IF(D201&lt;=Control!$B$2,1,0))</f>
        <v>0</v>
      </c>
      <c r="K201">
        <f>IF(J201=1,IF(SUMPRODUCT($J$2:$J$501*EXACT($I$2:$I$501,I201)*($C$2:$C$501&gt;C201))=0,1,0),0)</f>
        <v>0</v>
      </c>
      <c r="L201">
        <f>IF(K201=1,IF(EXACT(F201,"posted"),IF(E201&lt;=Control!$B$2,1,0),0),0)</f>
        <v>0</v>
      </c>
      <c r="M201">
        <f>IF(A201="",0,SUMPRODUCT(EXACT(Rates!$A$2:$A$4,G201)*Rates!$B$2:$B$4))</f>
        <v>0</v>
      </c>
      <c r="N201">
        <f>IF(L201=1,ROUND(ROUND(H201*M201*100,6),0),0)</f>
        <v>0</v>
      </c>
    </row>
    <row r="202">
      <c r="I202" t="str">
        <f>IF(A202="","",LEN(A202)&amp;"|"&amp;A202&amp;B202)</f>
        <v/>
      </c>
      <c r="J202">
        <f>IF(A202="",0,IF(D202&lt;=Control!$B$2,1,0))</f>
        <v>0</v>
      </c>
      <c r="K202">
        <f>IF(J202=1,IF(SUMPRODUCT($J$2:$J$501*EXACT($I$2:$I$501,I202)*($C$2:$C$501&gt;C202))=0,1,0),0)</f>
        <v>0</v>
      </c>
      <c r="L202">
        <f>IF(K202=1,IF(EXACT(F202,"posted"),IF(E202&lt;=Control!$B$2,1,0),0),0)</f>
        <v>0</v>
      </c>
      <c r="M202">
        <f>IF(A202="",0,SUMPRODUCT(EXACT(Rates!$A$2:$A$4,G202)*Rates!$B$2:$B$4))</f>
        <v>0</v>
      </c>
      <c r="N202">
        <f>IF(L202=1,ROUND(ROUND(H202*M202*100,6),0),0)</f>
        <v>0</v>
      </c>
    </row>
    <row r="203">
      <c r="I203" t="str">
        <f>IF(A203="","",LEN(A203)&amp;"|"&amp;A203&amp;B203)</f>
        <v/>
      </c>
      <c r="J203">
        <f>IF(A203="",0,IF(D203&lt;=Control!$B$2,1,0))</f>
        <v>0</v>
      </c>
      <c r="K203">
        <f>IF(J203=1,IF(SUMPRODUCT($J$2:$J$501*EXACT($I$2:$I$501,I203)*($C$2:$C$501&gt;C203))=0,1,0),0)</f>
        <v>0</v>
      </c>
      <c r="L203">
        <f>IF(K203=1,IF(EXACT(F203,"posted"),IF(E203&lt;=Control!$B$2,1,0),0),0)</f>
        <v>0</v>
      </c>
      <c r="M203">
        <f>IF(A203="",0,SUMPRODUCT(EXACT(Rates!$A$2:$A$4,G203)*Rates!$B$2:$B$4))</f>
        <v>0</v>
      </c>
      <c r="N203">
        <f>IF(L203=1,ROUND(ROUND(H203*M203*100,6),0),0)</f>
        <v>0</v>
      </c>
    </row>
    <row r="204">
      <c r="I204" t="str">
        <f>IF(A204="","",LEN(A204)&amp;"|"&amp;A204&amp;B204)</f>
        <v/>
      </c>
      <c r="J204">
        <f>IF(A204="",0,IF(D204&lt;=Control!$B$2,1,0))</f>
        <v>0</v>
      </c>
      <c r="K204">
        <f>IF(J204=1,IF(SUMPRODUCT($J$2:$J$501*EXACT($I$2:$I$501,I204)*($C$2:$C$501&gt;C204))=0,1,0),0)</f>
        <v>0</v>
      </c>
      <c r="L204">
        <f>IF(K204=1,IF(EXACT(F204,"posted"),IF(E204&lt;=Control!$B$2,1,0),0),0)</f>
        <v>0</v>
      </c>
      <c r="M204">
        <f>IF(A204="",0,SUMPRODUCT(EXACT(Rates!$A$2:$A$4,G204)*Rates!$B$2:$B$4))</f>
        <v>0</v>
      </c>
      <c r="N204">
        <f>IF(L204=1,ROUND(ROUND(H204*M204*100,6),0),0)</f>
        <v>0</v>
      </c>
    </row>
    <row r="205">
      <c r="I205" t="str">
        <f>IF(A205="","",LEN(A205)&amp;"|"&amp;A205&amp;B205)</f>
        <v/>
      </c>
      <c r="J205">
        <f>IF(A205="",0,IF(D205&lt;=Control!$B$2,1,0))</f>
        <v>0</v>
      </c>
      <c r="K205">
        <f>IF(J205=1,IF(SUMPRODUCT($J$2:$J$501*EXACT($I$2:$I$501,I205)*($C$2:$C$501&gt;C205))=0,1,0),0)</f>
        <v>0</v>
      </c>
      <c r="L205">
        <f>IF(K205=1,IF(EXACT(F205,"posted"),IF(E205&lt;=Control!$B$2,1,0),0),0)</f>
        <v>0</v>
      </c>
      <c r="M205">
        <f>IF(A205="",0,SUMPRODUCT(EXACT(Rates!$A$2:$A$4,G205)*Rates!$B$2:$B$4))</f>
        <v>0</v>
      </c>
      <c r="N205">
        <f>IF(L205=1,ROUND(ROUND(H205*M205*100,6),0),0)</f>
        <v>0</v>
      </c>
    </row>
    <row r="206">
      <c r="I206" t="str">
        <f>IF(A206="","",LEN(A206)&amp;"|"&amp;A206&amp;B206)</f>
        <v/>
      </c>
      <c r="J206">
        <f>IF(A206="",0,IF(D206&lt;=Control!$B$2,1,0))</f>
        <v>0</v>
      </c>
      <c r="K206">
        <f>IF(J206=1,IF(SUMPRODUCT($J$2:$J$501*EXACT($I$2:$I$501,I206)*($C$2:$C$501&gt;C206))=0,1,0),0)</f>
        <v>0</v>
      </c>
      <c r="L206">
        <f>IF(K206=1,IF(EXACT(F206,"posted"),IF(E206&lt;=Control!$B$2,1,0),0),0)</f>
        <v>0</v>
      </c>
      <c r="M206">
        <f>IF(A206="",0,SUMPRODUCT(EXACT(Rates!$A$2:$A$4,G206)*Rates!$B$2:$B$4))</f>
        <v>0</v>
      </c>
      <c r="N206">
        <f>IF(L206=1,ROUND(ROUND(H206*M206*100,6),0),0)</f>
        <v>0</v>
      </c>
    </row>
    <row r="207">
      <c r="I207" t="str">
        <f>IF(A207="","",LEN(A207)&amp;"|"&amp;A207&amp;B207)</f>
        <v/>
      </c>
      <c r="J207">
        <f>IF(A207="",0,IF(D207&lt;=Control!$B$2,1,0))</f>
        <v>0</v>
      </c>
      <c r="K207">
        <f>IF(J207=1,IF(SUMPRODUCT($J$2:$J$501*EXACT($I$2:$I$501,I207)*($C$2:$C$501&gt;C207))=0,1,0),0)</f>
        <v>0</v>
      </c>
      <c r="L207">
        <f>IF(K207=1,IF(EXACT(F207,"posted"),IF(E207&lt;=Control!$B$2,1,0),0),0)</f>
        <v>0</v>
      </c>
      <c r="M207">
        <f>IF(A207="",0,SUMPRODUCT(EXACT(Rates!$A$2:$A$4,G207)*Rates!$B$2:$B$4))</f>
        <v>0</v>
      </c>
      <c r="N207">
        <f>IF(L207=1,ROUND(ROUND(H207*M207*100,6),0),0)</f>
        <v>0</v>
      </c>
    </row>
    <row r="208">
      <c r="I208" t="str">
        <f>IF(A208="","",LEN(A208)&amp;"|"&amp;A208&amp;B208)</f>
        <v/>
      </c>
      <c r="J208">
        <f>IF(A208="",0,IF(D208&lt;=Control!$B$2,1,0))</f>
        <v>0</v>
      </c>
      <c r="K208">
        <f>IF(J208=1,IF(SUMPRODUCT($J$2:$J$501*EXACT($I$2:$I$501,I208)*($C$2:$C$501&gt;C208))=0,1,0),0)</f>
        <v>0</v>
      </c>
      <c r="L208">
        <f>IF(K208=1,IF(EXACT(F208,"posted"),IF(E208&lt;=Control!$B$2,1,0),0),0)</f>
        <v>0</v>
      </c>
      <c r="M208">
        <f>IF(A208="",0,SUMPRODUCT(EXACT(Rates!$A$2:$A$4,G208)*Rates!$B$2:$B$4))</f>
        <v>0</v>
      </c>
      <c r="N208">
        <f>IF(L208=1,ROUND(ROUND(H208*M208*100,6),0),0)</f>
        <v>0</v>
      </c>
    </row>
    <row r="209">
      <c r="I209" t="str">
        <f>IF(A209="","",LEN(A209)&amp;"|"&amp;A209&amp;B209)</f>
        <v/>
      </c>
      <c r="J209">
        <f>IF(A209="",0,IF(D209&lt;=Control!$B$2,1,0))</f>
        <v>0</v>
      </c>
      <c r="K209">
        <f>IF(J209=1,IF(SUMPRODUCT($J$2:$J$501*EXACT($I$2:$I$501,I209)*($C$2:$C$501&gt;C209))=0,1,0),0)</f>
        <v>0</v>
      </c>
      <c r="L209">
        <f>IF(K209=1,IF(EXACT(F209,"posted"),IF(E209&lt;=Control!$B$2,1,0),0),0)</f>
        <v>0</v>
      </c>
      <c r="M209">
        <f>IF(A209="",0,SUMPRODUCT(EXACT(Rates!$A$2:$A$4,G209)*Rates!$B$2:$B$4))</f>
        <v>0</v>
      </c>
      <c r="N209">
        <f>IF(L209=1,ROUND(ROUND(H209*M209*100,6),0),0)</f>
        <v>0</v>
      </c>
    </row>
    <row r="210">
      <c r="I210" t="str">
        <f>IF(A210="","",LEN(A210)&amp;"|"&amp;A210&amp;B210)</f>
        <v/>
      </c>
      <c r="J210">
        <f>IF(A210="",0,IF(D210&lt;=Control!$B$2,1,0))</f>
        <v>0</v>
      </c>
      <c r="K210">
        <f>IF(J210=1,IF(SUMPRODUCT($J$2:$J$501*EXACT($I$2:$I$501,I210)*($C$2:$C$501&gt;C210))=0,1,0),0)</f>
        <v>0</v>
      </c>
      <c r="L210">
        <f>IF(K210=1,IF(EXACT(F210,"posted"),IF(E210&lt;=Control!$B$2,1,0),0),0)</f>
        <v>0</v>
      </c>
      <c r="M210">
        <f>IF(A210="",0,SUMPRODUCT(EXACT(Rates!$A$2:$A$4,G210)*Rates!$B$2:$B$4))</f>
        <v>0</v>
      </c>
      <c r="N210">
        <f>IF(L210=1,ROUND(ROUND(H210*M210*100,6),0),0)</f>
        <v>0</v>
      </c>
    </row>
    <row r="211">
      <c r="I211" t="str">
        <f>IF(A211="","",LEN(A211)&amp;"|"&amp;A211&amp;B211)</f>
        <v/>
      </c>
      <c r="J211">
        <f>IF(A211="",0,IF(D211&lt;=Control!$B$2,1,0))</f>
        <v>0</v>
      </c>
      <c r="K211">
        <f>IF(J211=1,IF(SUMPRODUCT($J$2:$J$501*EXACT($I$2:$I$501,I211)*($C$2:$C$501&gt;C211))=0,1,0),0)</f>
        <v>0</v>
      </c>
      <c r="L211">
        <f>IF(K211=1,IF(EXACT(F211,"posted"),IF(E211&lt;=Control!$B$2,1,0),0),0)</f>
        <v>0</v>
      </c>
      <c r="M211">
        <f>IF(A211="",0,SUMPRODUCT(EXACT(Rates!$A$2:$A$4,G211)*Rates!$B$2:$B$4))</f>
        <v>0</v>
      </c>
      <c r="N211">
        <f>IF(L211=1,ROUND(ROUND(H211*M211*100,6),0),0)</f>
        <v>0</v>
      </c>
    </row>
    <row r="212">
      <c r="I212" t="str">
        <f>IF(A212="","",LEN(A212)&amp;"|"&amp;A212&amp;B212)</f>
        <v/>
      </c>
      <c r="J212">
        <f>IF(A212="",0,IF(D212&lt;=Control!$B$2,1,0))</f>
        <v>0</v>
      </c>
      <c r="K212">
        <f>IF(J212=1,IF(SUMPRODUCT($J$2:$J$501*EXACT($I$2:$I$501,I212)*($C$2:$C$501&gt;C212))=0,1,0),0)</f>
        <v>0</v>
      </c>
      <c r="L212">
        <f>IF(K212=1,IF(EXACT(F212,"posted"),IF(E212&lt;=Control!$B$2,1,0),0),0)</f>
        <v>0</v>
      </c>
      <c r="M212">
        <f>IF(A212="",0,SUMPRODUCT(EXACT(Rates!$A$2:$A$4,G212)*Rates!$B$2:$B$4))</f>
        <v>0</v>
      </c>
      <c r="N212">
        <f>IF(L212=1,ROUND(ROUND(H212*M212*100,6),0),0)</f>
        <v>0</v>
      </c>
    </row>
    <row r="213">
      <c r="I213" t="str">
        <f>IF(A213="","",LEN(A213)&amp;"|"&amp;A213&amp;B213)</f>
        <v/>
      </c>
      <c r="J213">
        <f>IF(A213="",0,IF(D213&lt;=Control!$B$2,1,0))</f>
        <v>0</v>
      </c>
      <c r="K213">
        <f>IF(J213=1,IF(SUMPRODUCT($J$2:$J$501*EXACT($I$2:$I$501,I213)*($C$2:$C$501&gt;C213))=0,1,0),0)</f>
        <v>0</v>
      </c>
      <c r="L213">
        <f>IF(K213=1,IF(EXACT(F213,"posted"),IF(E213&lt;=Control!$B$2,1,0),0),0)</f>
        <v>0</v>
      </c>
      <c r="M213">
        <f>IF(A213="",0,SUMPRODUCT(EXACT(Rates!$A$2:$A$4,G213)*Rates!$B$2:$B$4))</f>
        <v>0</v>
      </c>
      <c r="N213">
        <f>IF(L213=1,ROUND(ROUND(H213*M213*100,6),0),0)</f>
        <v>0</v>
      </c>
    </row>
    <row r="214">
      <c r="I214" t="str">
        <f>IF(A214="","",LEN(A214)&amp;"|"&amp;A214&amp;B214)</f>
        <v/>
      </c>
      <c r="J214">
        <f>IF(A214="",0,IF(D214&lt;=Control!$B$2,1,0))</f>
        <v>0</v>
      </c>
      <c r="K214">
        <f>IF(J214=1,IF(SUMPRODUCT($J$2:$J$501*EXACT($I$2:$I$501,I214)*($C$2:$C$501&gt;C214))=0,1,0),0)</f>
        <v>0</v>
      </c>
      <c r="L214">
        <f>IF(K214=1,IF(EXACT(F214,"posted"),IF(E214&lt;=Control!$B$2,1,0),0),0)</f>
        <v>0</v>
      </c>
      <c r="M214">
        <f>IF(A214="",0,SUMPRODUCT(EXACT(Rates!$A$2:$A$4,G214)*Rates!$B$2:$B$4))</f>
        <v>0</v>
      </c>
      <c r="N214">
        <f>IF(L214=1,ROUND(ROUND(H214*M214*100,6),0),0)</f>
        <v>0</v>
      </c>
    </row>
    <row r="215">
      <c r="I215" t="str">
        <f>IF(A215="","",LEN(A215)&amp;"|"&amp;A215&amp;B215)</f>
        <v/>
      </c>
      <c r="J215">
        <f>IF(A215="",0,IF(D215&lt;=Control!$B$2,1,0))</f>
        <v>0</v>
      </c>
      <c r="K215">
        <f>IF(J215=1,IF(SUMPRODUCT($J$2:$J$501*EXACT($I$2:$I$501,I215)*($C$2:$C$501&gt;C215))=0,1,0),0)</f>
        <v>0</v>
      </c>
      <c r="L215">
        <f>IF(K215=1,IF(EXACT(F215,"posted"),IF(E215&lt;=Control!$B$2,1,0),0),0)</f>
        <v>0</v>
      </c>
      <c r="M215">
        <f>IF(A215="",0,SUMPRODUCT(EXACT(Rates!$A$2:$A$4,G215)*Rates!$B$2:$B$4))</f>
        <v>0</v>
      </c>
      <c r="N215">
        <f>IF(L215=1,ROUND(ROUND(H215*M215*100,6),0),0)</f>
        <v>0</v>
      </c>
    </row>
    <row r="216">
      <c r="I216" t="str">
        <f>IF(A216="","",LEN(A216)&amp;"|"&amp;A216&amp;B216)</f>
        <v/>
      </c>
      <c r="J216">
        <f>IF(A216="",0,IF(D216&lt;=Control!$B$2,1,0))</f>
        <v>0</v>
      </c>
      <c r="K216">
        <f>IF(J216=1,IF(SUMPRODUCT($J$2:$J$501*EXACT($I$2:$I$501,I216)*($C$2:$C$501&gt;C216))=0,1,0),0)</f>
        <v>0</v>
      </c>
      <c r="L216">
        <f>IF(K216=1,IF(EXACT(F216,"posted"),IF(E216&lt;=Control!$B$2,1,0),0),0)</f>
        <v>0</v>
      </c>
      <c r="M216">
        <f>IF(A216="",0,SUMPRODUCT(EXACT(Rates!$A$2:$A$4,G216)*Rates!$B$2:$B$4))</f>
        <v>0</v>
      </c>
      <c r="N216">
        <f>IF(L216=1,ROUND(ROUND(H216*M216*100,6),0),0)</f>
        <v>0</v>
      </c>
    </row>
    <row r="217">
      <c r="I217" t="str">
        <f>IF(A217="","",LEN(A217)&amp;"|"&amp;A217&amp;B217)</f>
        <v/>
      </c>
      <c r="J217">
        <f>IF(A217="",0,IF(D217&lt;=Control!$B$2,1,0))</f>
        <v>0</v>
      </c>
      <c r="K217">
        <f>IF(J217=1,IF(SUMPRODUCT($J$2:$J$501*EXACT($I$2:$I$501,I217)*($C$2:$C$501&gt;C217))=0,1,0),0)</f>
        <v>0</v>
      </c>
      <c r="L217">
        <f>IF(K217=1,IF(EXACT(F217,"posted"),IF(E217&lt;=Control!$B$2,1,0),0),0)</f>
        <v>0</v>
      </c>
      <c r="M217">
        <f>IF(A217="",0,SUMPRODUCT(EXACT(Rates!$A$2:$A$4,G217)*Rates!$B$2:$B$4))</f>
        <v>0</v>
      </c>
      <c r="N217">
        <f>IF(L217=1,ROUND(ROUND(H217*M217*100,6),0),0)</f>
        <v>0</v>
      </c>
    </row>
    <row r="218">
      <c r="I218" t="str">
        <f>IF(A218="","",LEN(A218)&amp;"|"&amp;A218&amp;B218)</f>
        <v/>
      </c>
      <c r="J218">
        <f>IF(A218="",0,IF(D218&lt;=Control!$B$2,1,0))</f>
        <v>0</v>
      </c>
      <c r="K218">
        <f>IF(J218=1,IF(SUMPRODUCT($J$2:$J$501*EXACT($I$2:$I$501,I218)*($C$2:$C$501&gt;C218))=0,1,0),0)</f>
        <v>0</v>
      </c>
      <c r="L218">
        <f>IF(K218=1,IF(EXACT(F218,"posted"),IF(E218&lt;=Control!$B$2,1,0),0),0)</f>
        <v>0</v>
      </c>
      <c r="M218">
        <f>IF(A218="",0,SUMPRODUCT(EXACT(Rates!$A$2:$A$4,G218)*Rates!$B$2:$B$4))</f>
        <v>0</v>
      </c>
      <c r="N218">
        <f>IF(L218=1,ROUND(ROUND(H218*M218*100,6),0),0)</f>
        <v>0</v>
      </c>
    </row>
    <row r="219">
      <c r="I219" t="str">
        <f>IF(A219="","",LEN(A219)&amp;"|"&amp;A219&amp;B219)</f>
        <v/>
      </c>
      <c r="J219">
        <f>IF(A219="",0,IF(D219&lt;=Control!$B$2,1,0))</f>
        <v>0</v>
      </c>
      <c r="K219">
        <f>IF(J219=1,IF(SUMPRODUCT($J$2:$J$501*EXACT($I$2:$I$501,I219)*($C$2:$C$501&gt;C219))=0,1,0),0)</f>
        <v>0</v>
      </c>
      <c r="L219">
        <f>IF(K219=1,IF(EXACT(F219,"posted"),IF(E219&lt;=Control!$B$2,1,0),0),0)</f>
        <v>0</v>
      </c>
      <c r="M219">
        <f>IF(A219="",0,SUMPRODUCT(EXACT(Rates!$A$2:$A$4,G219)*Rates!$B$2:$B$4))</f>
        <v>0</v>
      </c>
      <c r="N219">
        <f>IF(L219=1,ROUND(ROUND(H219*M219*100,6),0),0)</f>
        <v>0</v>
      </c>
    </row>
    <row r="220">
      <c r="I220" t="str">
        <f>IF(A220="","",LEN(A220)&amp;"|"&amp;A220&amp;B220)</f>
        <v/>
      </c>
      <c r="J220">
        <f>IF(A220="",0,IF(D220&lt;=Control!$B$2,1,0))</f>
        <v>0</v>
      </c>
      <c r="K220">
        <f>IF(J220=1,IF(SUMPRODUCT($J$2:$J$501*EXACT($I$2:$I$501,I220)*($C$2:$C$501&gt;C220))=0,1,0),0)</f>
        <v>0</v>
      </c>
      <c r="L220">
        <f>IF(K220=1,IF(EXACT(F220,"posted"),IF(E220&lt;=Control!$B$2,1,0),0),0)</f>
        <v>0</v>
      </c>
      <c r="M220">
        <f>IF(A220="",0,SUMPRODUCT(EXACT(Rates!$A$2:$A$4,G220)*Rates!$B$2:$B$4))</f>
        <v>0</v>
      </c>
      <c r="N220">
        <f>IF(L220=1,ROUND(ROUND(H220*M220*100,6),0),0)</f>
        <v>0</v>
      </c>
    </row>
    <row r="221">
      <c r="I221" t="str">
        <f>IF(A221="","",LEN(A221)&amp;"|"&amp;A221&amp;B221)</f>
        <v/>
      </c>
      <c r="J221">
        <f>IF(A221="",0,IF(D221&lt;=Control!$B$2,1,0))</f>
        <v>0</v>
      </c>
      <c r="K221">
        <f>IF(J221=1,IF(SUMPRODUCT($J$2:$J$501*EXACT($I$2:$I$501,I221)*($C$2:$C$501&gt;C221))=0,1,0),0)</f>
        <v>0</v>
      </c>
      <c r="L221">
        <f>IF(K221=1,IF(EXACT(F221,"posted"),IF(E221&lt;=Control!$B$2,1,0),0),0)</f>
        <v>0</v>
      </c>
      <c r="M221">
        <f>IF(A221="",0,SUMPRODUCT(EXACT(Rates!$A$2:$A$4,G221)*Rates!$B$2:$B$4))</f>
        <v>0</v>
      </c>
      <c r="N221">
        <f>IF(L221=1,ROUND(ROUND(H221*M221*100,6),0),0)</f>
        <v>0</v>
      </c>
    </row>
    <row r="222">
      <c r="I222" t="str">
        <f>IF(A222="","",LEN(A222)&amp;"|"&amp;A222&amp;B222)</f>
        <v/>
      </c>
      <c r="J222">
        <f>IF(A222="",0,IF(D222&lt;=Control!$B$2,1,0))</f>
        <v>0</v>
      </c>
      <c r="K222">
        <f>IF(J222=1,IF(SUMPRODUCT($J$2:$J$501*EXACT($I$2:$I$501,I222)*($C$2:$C$501&gt;C222))=0,1,0),0)</f>
        <v>0</v>
      </c>
      <c r="L222">
        <f>IF(K222=1,IF(EXACT(F222,"posted"),IF(E222&lt;=Control!$B$2,1,0),0),0)</f>
        <v>0</v>
      </c>
      <c r="M222">
        <f>IF(A222="",0,SUMPRODUCT(EXACT(Rates!$A$2:$A$4,G222)*Rates!$B$2:$B$4))</f>
        <v>0</v>
      </c>
      <c r="N222">
        <f>IF(L222=1,ROUND(ROUND(H222*M222*100,6),0),0)</f>
        <v>0</v>
      </c>
    </row>
    <row r="223">
      <c r="I223" t="str">
        <f>IF(A223="","",LEN(A223)&amp;"|"&amp;A223&amp;B223)</f>
        <v/>
      </c>
      <c r="J223">
        <f>IF(A223="",0,IF(D223&lt;=Control!$B$2,1,0))</f>
        <v>0</v>
      </c>
      <c r="K223">
        <f>IF(J223=1,IF(SUMPRODUCT($J$2:$J$501*EXACT($I$2:$I$501,I223)*($C$2:$C$501&gt;C223))=0,1,0),0)</f>
        <v>0</v>
      </c>
      <c r="L223">
        <f>IF(K223=1,IF(EXACT(F223,"posted"),IF(E223&lt;=Control!$B$2,1,0),0),0)</f>
        <v>0</v>
      </c>
      <c r="M223">
        <f>IF(A223="",0,SUMPRODUCT(EXACT(Rates!$A$2:$A$4,G223)*Rates!$B$2:$B$4))</f>
        <v>0</v>
      </c>
      <c r="N223">
        <f>IF(L223=1,ROUND(ROUND(H223*M223*100,6),0),0)</f>
        <v>0</v>
      </c>
    </row>
    <row r="224">
      <c r="I224" t="str">
        <f>IF(A224="","",LEN(A224)&amp;"|"&amp;A224&amp;B224)</f>
        <v/>
      </c>
      <c r="J224">
        <f>IF(A224="",0,IF(D224&lt;=Control!$B$2,1,0))</f>
        <v>0</v>
      </c>
      <c r="K224">
        <f>IF(J224=1,IF(SUMPRODUCT($J$2:$J$501*EXACT($I$2:$I$501,I224)*($C$2:$C$501&gt;C224))=0,1,0),0)</f>
        <v>0</v>
      </c>
      <c r="L224">
        <f>IF(K224=1,IF(EXACT(F224,"posted"),IF(E224&lt;=Control!$B$2,1,0),0),0)</f>
        <v>0</v>
      </c>
      <c r="M224">
        <f>IF(A224="",0,SUMPRODUCT(EXACT(Rates!$A$2:$A$4,G224)*Rates!$B$2:$B$4))</f>
        <v>0</v>
      </c>
      <c r="N224">
        <f>IF(L224=1,ROUND(ROUND(H224*M224*100,6),0),0)</f>
        <v>0</v>
      </c>
    </row>
    <row r="225">
      <c r="I225" t="str">
        <f>IF(A225="","",LEN(A225)&amp;"|"&amp;A225&amp;B225)</f>
        <v/>
      </c>
      <c r="J225">
        <f>IF(A225="",0,IF(D225&lt;=Control!$B$2,1,0))</f>
        <v>0</v>
      </c>
      <c r="K225">
        <f>IF(J225=1,IF(SUMPRODUCT($J$2:$J$501*EXACT($I$2:$I$501,I225)*($C$2:$C$501&gt;C225))=0,1,0),0)</f>
        <v>0</v>
      </c>
      <c r="L225">
        <f>IF(K225=1,IF(EXACT(F225,"posted"),IF(E225&lt;=Control!$B$2,1,0),0),0)</f>
        <v>0</v>
      </c>
      <c r="M225">
        <f>IF(A225="",0,SUMPRODUCT(EXACT(Rates!$A$2:$A$4,G225)*Rates!$B$2:$B$4))</f>
        <v>0</v>
      </c>
      <c r="N225">
        <f>IF(L225=1,ROUND(ROUND(H225*M225*100,6),0),0)</f>
        <v>0</v>
      </c>
    </row>
    <row r="226">
      <c r="I226" t="str">
        <f>IF(A226="","",LEN(A226)&amp;"|"&amp;A226&amp;B226)</f>
        <v/>
      </c>
      <c r="J226">
        <f>IF(A226="",0,IF(D226&lt;=Control!$B$2,1,0))</f>
        <v>0</v>
      </c>
      <c r="K226">
        <f>IF(J226=1,IF(SUMPRODUCT($J$2:$J$501*EXACT($I$2:$I$501,I226)*($C$2:$C$501&gt;C226))=0,1,0),0)</f>
        <v>0</v>
      </c>
      <c r="L226">
        <f>IF(K226=1,IF(EXACT(F226,"posted"),IF(E226&lt;=Control!$B$2,1,0),0),0)</f>
        <v>0</v>
      </c>
      <c r="M226">
        <f>IF(A226="",0,SUMPRODUCT(EXACT(Rates!$A$2:$A$4,G226)*Rates!$B$2:$B$4))</f>
        <v>0</v>
      </c>
      <c r="N226">
        <f>IF(L226=1,ROUND(ROUND(H226*M226*100,6),0),0)</f>
        <v>0</v>
      </c>
    </row>
    <row r="227">
      <c r="I227" t="str">
        <f>IF(A227="","",LEN(A227)&amp;"|"&amp;A227&amp;B227)</f>
        <v/>
      </c>
      <c r="J227">
        <f>IF(A227="",0,IF(D227&lt;=Control!$B$2,1,0))</f>
        <v>0</v>
      </c>
      <c r="K227">
        <f>IF(J227=1,IF(SUMPRODUCT($J$2:$J$501*EXACT($I$2:$I$501,I227)*($C$2:$C$501&gt;C227))=0,1,0),0)</f>
        <v>0</v>
      </c>
      <c r="L227">
        <f>IF(K227=1,IF(EXACT(F227,"posted"),IF(E227&lt;=Control!$B$2,1,0),0),0)</f>
        <v>0</v>
      </c>
      <c r="M227">
        <f>IF(A227="",0,SUMPRODUCT(EXACT(Rates!$A$2:$A$4,G227)*Rates!$B$2:$B$4))</f>
        <v>0</v>
      </c>
      <c r="N227">
        <f>IF(L227=1,ROUND(ROUND(H227*M227*100,6),0),0)</f>
        <v>0</v>
      </c>
    </row>
    <row r="228">
      <c r="I228" t="str">
        <f>IF(A228="","",LEN(A228)&amp;"|"&amp;A228&amp;B228)</f>
        <v/>
      </c>
      <c r="J228">
        <f>IF(A228="",0,IF(D228&lt;=Control!$B$2,1,0))</f>
        <v>0</v>
      </c>
      <c r="K228">
        <f>IF(J228=1,IF(SUMPRODUCT($J$2:$J$501*EXACT($I$2:$I$501,I228)*($C$2:$C$501&gt;C228))=0,1,0),0)</f>
        <v>0</v>
      </c>
      <c r="L228">
        <f>IF(K228=1,IF(EXACT(F228,"posted"),IF(E228&lt;=Control!$B$2,1,0),0),0)</f>
        <v>0</v>
      </c>
      <c r="M228">
        <f>IF(A228="",0,SUMPRODUCT(EXACT(Rates!$A$2:$A$4,G228)*Rates!$B$2:$B$4))</f>
        <v>0</v>
      </c>
      <c r="N228">
        <f>IF(L228=1,ROUND(ROUND(H228*M228*100,6),0),0)</f>
        <v>0</v>
      </c>
    </row>
    <row r="229">
      <c r="I229" t="str">
        <f>IF(A229="","",LEN(A229)&amp;"|"&amp;A229&amp;B229)</f>
        <v/>
      </c>
      <c r="J229">
        <f>IF(A229="",0,IF(D229&lt;=Control!$B$2,1,0))</f>
        <v>0</v>
      </c>
      <c r="K229">
        <f>IF(J229=1,IF(SUMPRODUCT($J$2:$J$501*EXACT($I$2:$I$501,I229)*($C$2:$C$501&gt;C229))=0,1,0),0)</f>
        <v>0</v>
      </c>
      <c r="L229">
        <f>IF(K229=1,IF(EXACT(F229,"posted"),IF(E229&lt;=Control!$B$2,1,0),0),0)</f>
        <v>0</v>
      </c>
      <c r="M229">
        <f>IF(A229="",0,SUMPRODUCT(EXACT(Rates!$A$2:$A$4,G229)*Rates!$B$2:$B$4))</f>
        <v>0</v>
      </c>
      <c r="N229">
        <f>IF(L229=1,ROUND(ROUND(H229*M229*100,6),0),0)</f>
        <v>0</v>
      </c>
    </row>
    <row r="230">
      <c r="I230" t="str">
        <f>IF(A230="","",LEN(A230)&amp;"|"&amp;A230&amp;B230)</f>
        <v/>
      </c>
      <c r="J230">
        <f>IF(A230="",0,IF(D230&lt;=Control!$B$2,1,0))</f>
        <v>0</v>
      </c>
      <c r="K230">
        <f>IF(J230=1,IF(SUMPRODUCT($J$2:$J$501*EXACT($I$2:$I$501,I230)*($C$2:$C$501&gt;C230))=0,1,0),0)</f>
        <v>0</v>
      </c>
      <c r="L230">
        <f>IF(K230=1,IF(EXACT(F230,"posted"),IF(E230&lt;=Control!$B$2,1,0),0),0)</f>
        <v>0</v>
      </c>
      <c r="M230">
        <f>IF(A230="",0,SUMPRODUCT(EXACT(Rates!$A$2:$A$4,G230)*Rates!$B$2:$B$4))</f>
        <v>0</v>
      </c>
      <c r="N230">
        <f>IF(L230=1,ROUND(ROUND(H230*M230*100,6),0),0)</f>
        <v>0</v>
      </c>
    </row>
    <row r="231">
      <c r="I231" t="str">
        <f>IF(A231="","",LEN(A231)&amp;"|"&amp;A231&amp;B231)</f>
        <v/>
      </c>
      <c r="J231">
        <f>IF(A231="",0,IF(D231&lt;=Control!$B$2,1,0))</f>
        <v>0</v>
      </c>
      <c r="K231">
        <f>IF(J231=1,IF(SUMPRODUCT($J$2:$J$501*EXACT($I$2:$I$501,I231)*($C$2:$C$501&gt;C231))=0,1,0),0)</f>
        <v>0</v>
      </c>
      <c r="L231">
        <f>IF(K231=1,IF(EXACT(F231,"posted"),IF(E231&lt;=Control!$B$2,1,0),0),0)</f>
        <v>0</v>
      </c>
      <c r="M231">
        <f>IF(A231="",0,SUMPRODUCT(EXACT(Rates!$A$2:$A$4,G231)*Rates!$B$2:$B$4))</f>
        <v>0</v>
      </c>
      <c r="N231">
        <f>IF(L231=1,ROUND(ROUND(H231*M231*100,6),0),0)</f>
        <v>0</v>
      </c>
    </row>
    <row r="232">
      <c r="I232" t="str">
        <f>IF(A232="","",LEN(A232)&amp;"|"&amp;A232&amp;B232)</f>
        <v/>
      </c>
      <c r="J232">
        <f>IF(A232="",0,IF(D232&lt;=Control!$B$2,1,0))</f>
        <v>0</v>
      </c>
      <c r="K232">
        <f>IF(J232=1,IF(SUMPRODUCT($J$2:$J$501*EXACT($I$2:$I$501,I232)*($C$2:$C$501&gt;C232))=0,1,0),0)</f>
        <v>0</v>
      </c>
      <c r="L232">
        <f>IF(K232=1,IF(EXACT(F232,"posted"),IF(E232&lt;=Control!$B$2,1,0),0),0)</f>
        <v>0</v>
      </c>
      <c r="M232">
        <f>IF(A232="",0,SUMPRODUCT(EXACT(Rates!$A$2:$A$4,G232)*Rates!$B$2:$B$4))</f>
        <v>0</v>
      </c>
      <c r="N232">
        <f>IF(L232=1,ROUND(ROUND(H232*M232*100,6),0),0)</f>
        <v>0</v>
      </c>
    </row>
    <row r="233">
      <c r="I233" t="str">
        <f>IF(A233="","",LEN(A233)&amp;"|"&amp;A233&amp;B233)</f>
        <v/>
      </c>
      <c r="J233">
        <f>IF(A233="",0,IF(D233&lt;=Control!$B$2,1,0))</f>
        <v>0</v>
      </c>
      <c r="K233">
        <f>IF(J233=1,IF(SUMPRODUCT($J$2:$J$501*EXACT($I$2:$I$501,I233)*($C$2:$C$501&gt;C233))=0,1,0),0)</f>
        <v>0</v>
      </c>
      <c r="L233">
        <f>IF(K233=1,IF(EXACT(F233,"posted"),IF(E233&lt;=Control!$B$2,1,0),0),0)</f>
        <v>0</v>
      </c>
      <c r="M233">
        <f>IF(A233="",0,SUMPRODUCT(EXACT(Rates!$A$2:$A$4,G233)*Rates!$B$2:$B$4))</f>
        <v>0</v>
      </c>
      <c r="N233">
        <f>IF(L233=1,ROUND(ROUND(H233*M233*100,6),0),0)</f>
        <v>0</v>
      </c>
    </row>
    <row r="234">
      <c r="I234" t="str">
        <f>IF(A234="","",LEN(A234)&amp;"|"&amp;A234&amp;B234)</f>
        <v/>
      </c>
      <c r="J234">
        <f>IF(A234="",0,IF(D234&lt;=Control!$B$2,1,0))</f>
        <v>0</v>
      </c>
      <c r="K234">
        <f>IF(J234=1,IF(SUMPRODUCT($J$2:$J$501*EXACT($I$2:$I$501,I234)*($C$2:$C$501&gt;C234))=0,1,0),0)</f>
        <v>0</v>
      </c>
      <c r="L234">
        <f>IF(K234=1,IF(EXACT(F234,"posted"),IF(E234&lt;=Control!$B$2,1,0),0),0)</f>
        <v>0</v>
      </c>
      <c r="M234">
        <f>IF(A234="",0,SUMPRODUCT(EXACT(Rates!$A$2:$A$4,G234)*Rates!$B$2:$B$4))</f>
        <v>0</v>
      </c>
      <c r="N234">
        <f>IF(L234=1,ROUND(ROUND(H234*M234*100,6),0),0)</f>
        <v>0</v>
      </c>
    </row>
    <row r="235">
      <c r="I235" t="str">
        <f>IF(A235="","",LEN(A235)&amp;"|"&amp;A235&amp;B235)</f>
        <v/>
      </c>
      <c r="J235">
        <f>IF(A235="",0,IF(D235&lt;=Control!$B$2,1,0))</f>
        <v>0</v>
      </c>
      <c r="K235">
        <f>IF(J235=1,IF(SUMPRODUCT($J$2:$J$501*EXACT($I$2:$I$501,I235)*($C$2:$C$501&gt;C235))=0,1,0),0)</f>
        <v>0</v>
      </c>
      <c r="L235">
        <f>IF(K235=1,IF(EXACT(F235,"posted"),IF(E235&lt;=Control!$B$2,1,0),0),0)</f>
        <v>0</v>
      </c>
      <c r="M235">
        <f>IF(A235="",0,SUMPRODUCT(EXACT(Rates!$A$2:$A$4,G235)*Rates!$B$2:$B$4))</f>
        <v>0</v>
      </c>
      <c r="N235">
        <f>IF(L235=1,ROUND(ROUND(H235*M235*100,6),0),0)</f>
        <v>0</v>
      </c>
    </row>
    <row r="236">
      <c r="I236" t="str">
        <f>IF(A236="","",LEN(A236)&amp;"|"&amp;A236&amp;B236)</f>
        <v/>
      </c>
      <c r="J236">
        <f>IF(A236="",0,IF(D236&lt;=Control!$B$2,1,0))</f>
        <v>0</v>
      </c>
      <c r="K236">
        <f>IF(J236=1,IF(SUMPRODUCT($J$2:$J$501*EXACT($I$2:$I$501,I236)*($C$2:$C$501&gt;C236))=0,1,0),0)</f>
        <v>0</v>
      </c>
      <c r="L236">
        <f>IF(K236=1,IF(EXACT(F236,"posted"),IF(E236&lt;=Control!$B$2,1,0),0),0)</f>
        <v>0</v>
      </c>
      <c r="M236">
        <f>IF(A236="",0,SUMPRODUCT(EXACT(Rates!$A$2:$A$4,G236)*Rates!$B$2:$B$4))</f>
        <v>0</v>
      </c>
      <c r="N236">
        <f>IF(L236=1,ROUND(ROUND(H236*M236*100,6),0),0)</f>
        <v>0</v>
      </c>
    </row>
    <row r="237">
      <c r="I237" t="str">
        <f>IF(A237="","",LEN(A237)&amp;"|"&amp;A237&amp;B237)</f>
        <v/>
      </c>
      <c r="J237">
        <f>IF(A237="",0,IF(D237&lt;=Control!$B$2,1,0))</f>
        <v>0</v>
      </c>
      <c r="K237">
        <f>IF(J237=1,IF(SUMPRODUCT($J$2:$J$501*EXACT($I$2:$I$501,I237)*($C$2:$C$501&gt;C237))=0,1,0),0)</f>
        <v>0</v>
      </c>
      <c r="L237">
        <f>IF(K237=1,IF(EXACT(F237,"posted"),IF(E237&lt;=Control!$B$2,1,0),0),0)</f>
        <v>0</v>
      </c>
      <c r="M237">
        <f>IF(A237="",0,SUMPRODUCT(EXACT(Rates!$A$2:$A$4,G237)*Rates!$B$2:$B$4))</f>
        <v>0</v>
      </c>
      <c r="N237">
        <f>IF(L237=1,ROUND(ROUND(H237*M237*100,6),0),0)</f>
        <v>0</v>
      </c>
    </row>
    <row r="238">
      <c r="I238" t="str">
        <f>IF(A238="","",LEN(A238)&amp;"|"&amp;A238&amp;B238)</f>
        <v/>
      </c>
      <c r="J238">
        <f>IF(A238="",0,IF(D238&lt;=Control!$B$2,1,0))</f>
        <v>0</v>
      </c>
      <c r="K238">
        <f>IF(J238=1,IF(SUMPRODUCT($J$2:$J$501*EXACT($I$2:$I$501,I238)*($C$2:$C$501&gt;C238))=0,1,0),0)</f>
        <v>0</v>
      </c>
      <c r="L238">
        <f>IF(K238=1,IF(EXACT(F238,"posted"),IF(E238&lt;=Control!$B$2,1,0),0),0)</f>
        <v>0</v>
      </c>
      <c r="M238">
        <f>IF(A238="",0,SUMPRODUCT(EXACT(Rates!$A$2:$A$4,G238)*Rates!$B$2:$B$4))</f>
        <v>0</v>
      </c>
      <c r="N238">
        <f>IF(L238=1,ROUND(ROUND(H238*M238*100,6),0),0)</f>
        <v>0</v>
      </c>
    </row>
    <row r="239">
      <c r="I239" t="str">
        <f>IF(A239="","",LEN(A239)&amp;"|"&amp;A239&amp;B239)</f>
        <v/>
      </c>
      <c r="J239">
        <f>IF(A239="",0,IF(D239&lt;=Control!$B$2,1,0))</f>
        <v>0</v>
      </c>
      <c r="K239">
        <f>IF(J239=1,IF(SUMPRODUCT($J$2:$J$501*EXACT($I$2:$I$501,I239)*($C$2:$C$501&gt;C239))=0,1,0),0)</f>
        <v>0</v>
      </c>
      <c r="L239">
        <f>IF(K239=1,IF(EXACT(F239,"posted"),IF(E239&lt;=Control!$B$2,1,0),0),0)</f>
        <v>0</v>
      </c>
      <c r="M239">
        <f>IF(A239="",0,SUMPRODUCT(EXACT(Rates!$A$2:$A$4,G239)*Rates!$B$2:$B$4))</f>
        <v>0</v>
      </c>
      <c r="N239">
        <f>IF(L239=1,ROUND(ROUND(H239*M239*100,6),0),0)</f>
        <v>0</v>
      </c>
    </row>
    <row r="240">
      <c r="I240" t="str">
        <f>IF(A240="","",LEN(A240)&amp;"|"&amp;A240&amp;B240)</f>
        <v/>
      </c>
      <c r="J240">
        <f>IF(A240="",0,IF(D240&lt;=Control!$B$2,1,0))</f>
        <v>0</v>
      </c>
      <c r="K240">
        <f>IF(J240=1,IF(SUMPRODUCT($J$2:$J$501*EXACT($I$2:$I$501,I240)*($C$2:$C$501&gt;C240))=0,1,0),0)</f>
        <v>0</v>
      </c>
      <c r="L240">
        <f>IF(K240=1,IF(EXACT(F240,"posted"),IF(E240&lt;=Control!$B$2,1,0),0),0)</f>
        <v>0</v>
      </c>
      <c r="M240">
        <f>IF(A240="",0,SUMPRODUCT(EXACT(Rates!$A$2:$A$4,G240)*Rates!$B$2:$B$4))</f>
        <v>0</v>
      </c>
      <c r="N240">
        <f>IF(L240=1,ROUND(ROUND(H240*M240*100,6),0),0)</f>
        <v>0</v>
      </c>
    </row>
    <row r="241">
      <c r="I241" t="str">
        <f>IF(A241="","",LEN(A241)&amp;"|"&amp;A241&amp;B241)</f>
        <v/>
      </c>
      <c r="J241">
        <f>IF(A241="",0,IF(D241&lt;=Control!$B$2,1,0))</f>
        <v>0</v>
      </c>
      <c r="K241">
        <f>IF(J241=1,IF(SUMPRODUCT($J$2:$J$501*EXACT($I$2:$I$501,I241)*($C$2:$C$501&gt;C241))=0,1,0),0)</f>
        <v>0</v>
      </c>
      <c r="L241">
        <f>IF(K241=1,IF(EXACT(F241,"posted"),IF(E241&lt;=Control!$B$2,1,0),0),0)</f>
        <v>0</v>
      </c>
      <c r="M241">
        <f>IF(A241="",0,SUMPRODUCT(EXACT(Rates!$A$2:$A$4,G241)*Rates!$B$2:$B$4))</f>
        <v>0</v>
      </c>
      <c r="N241">
        <f>IF(L241=1,ROUND(ROUND(H241*M241*100,6),0),0)</f>
        <v>0</v>
      </c>
    </row>
    <row r="242">
      <c r="I242" t="str">
        <f>IF(A242="","",LEN(A242)&amp;"|"&amp;A242&amp;B242)</f>
        <v/>
      </c>
      <c r="J242">
        <f>IF(A242="",0,IF(D242&lt;=Control!$B$2,1,0))</f>
        <v>0</v>
      </c>
      <c r="K242">
        <f>IF(J242=1,IF(SUMPRODUCT($J$2:$J$501*EXACT($I$2:$I$501,I242)*($C$2:$C$501&gt;C242))=0,1,0),0)</f>
        <v>0</v>
      </c>
      <c r="L242">
        <f>IF(K242=1,IF(EXACT(F242,"posted"),IF(E242&lt;=Control!$B$2,1,0),0),0)</f>
        <v>0</v>
      </c>
      <c r="M242">
        <f>IF(A242="",0,SUMPRODUCT(EXACT(Rates!$A$2:$A$4,G242)*Rates!$B$2:$B$4))</f>
        <v>0</v>
      </c>
      <c r="N242">
        <f>IF(L242=1,ROUND(ROUND(H242*M242*100,6),0),0)</f>
        <v>0</v>
      </c>
    </row>
    <row r="243">
      <c r="I243" t="str">
        <f>IF(A243="","",LEN(A243)&amp;"|"&amp;A243&amp;B243)</f>
        <v/>
      </c>
      <c r="J243">
        <f>IF(A243="",0,IF(D243&lt;=Control!$B$2,1,0))</f>
        <v>0</v>
      </c>
      <c r="K243">
        <f>IF(J243=1,IF(SUMPRODUCT($J$2:$J$501*EXACT($I$2:$I$501,I243)*($C$2:$C$501&gt;C243))=0,1,0),0)</f>
        <v>0</v>
      </c>
      <c r="L243">
        <f>IF(K243=1,IF(EXACT(F243,"posted"),IF(E243&lt;=Control!$B$2,1,0),0),0)</f>
        <v>0</v>
      </c>
      <c r="M243">
        <f>IF(A243="",0,SUMPRODUCT(EXACT(Rates!$A$2:$A$4,G243)*Rates!$B$2:$B$4))</f>
        <v>0</v>
      </c>
      <c r="N243">
        <f>IF(L243=1,ROUND(ROUND(H243*M243*100,6),0),0)</f>
        <v>0</v>
      </c>
    </row>
    <row r="244">
      <c r="I244" t="str">
        <f>IF(A244="","",LEN(A244)&amp;"|"&amp;A244&amp;B244)</f>
        <v/>
      </c>
      <c r="J244">
        <f>IF(A244="",0,IF(D244&lt;=Control!$B$2,1,0))</f>
        <v>0</v>
      </c>
      <c r="K244">
        <f>IF(J244=1,IF(SUMPRODUCT($J$2:$J$501*EXACT($I$2:$I$501,I244)*($C$2:$C$501&gt;C244))=0,1,0),0)</f>
        <v>0</v>
      </c>
      <c r="L244">
        <f>IF(K244=1,IF(EXACT(F244,"posted"),IF(E244&lt;=Control!$B$2,1,0),0),0)</f>
        <v>0</v>
      </c>
      <c r="M244">
        <f>IF(A244="",0,SUMPRODUCT(EXACT(Rates!$A$2:$A$4,G244)*Rates!$B$2:$B$4))</f>
        <v>0</v>
      </c>
      <c r="N244">
        <f>IF(L244=1,ROUND(ROUND(H244*M244*100,6),0),0)</f>
        <v>0</v>
      </c>
    </row>
    <row r="245">
      <c r="I245" t="str">
        <f>IF(A245="","",LEN(A245)&amp;"|"&amp;A245&amp;B245)</f>
        <v/>
      </c>
      <c r="J245">
        <f>IF(A245="",0,IF(D245&lt;=Control!$B$2,1,0))</f>
        <v>0</v>
      </c>
      <c r="K245">
        <f>IF(J245=1,IF(SUMPRODUCT($J$2:$J$501*EXACT($I$2:$I$501,I245)*($C$2:$C$501&gt;C245))=0,1,0),0)</f>
        <v>0</v>
      </c>
      <c r="L245">
        <f>IF(K245=1,IF(EXACT(F245,"posted"),IF(E245&lt;=Control!$B$2,1,0),0),0)</f>
        <v>0</v>
      </c>
      <c r="M245">
        <f>IF(A245="",0,SUMPRODUCT(EXACT(Rates!$A$2:$A$4,G245)*Rates!$B$2:$B$4))</f>
        <v>0</v>
      </c>
      <c r="N245">
        <f>IF(L245=1,ROUND(ROUND(H245*M245*100,6),0),0)</f>
        <v>0</v>
      </c>
    </row>
    <row r="246">
      <c r="I246" t="str">
        <f>IF(A246="","",LEN(A246)&amp;"|"&amp;A246&amp;B246)</f>
        <v/>
      </c>
      <c r="J246">
        <f>IF(A246="",0,IF(D246&lt;=Control!$B$2,1,0))</f>
        <v>0</v>
      </c>
      <c r="K246">
        <f>IF(J246=1,IF(SUMPRODUCT($J$2:$J$501*EXACT($I$2:$I$501,I246)*($C$2:$C$501&gt;C246))=0,1,0),0)</f>
        <v>0</v>
      </c>
      <c r="L246">
        <f>IF(K246=1,IF(EXACT(F246,"posted"),IF(E246&lt;=Control!$B$2,1,0),0),0)</f>
        <v>0</v>
      </c>
      <c r="M246">
        <f>IF(A246="",0,SUMPRODUCT(EXACT(Rates!$A$2:$A$4,G246)*Rates!$B$2:$B$4))</f>
        <v>0</v>
      </c>
      <c r="N246">
        <f>IF(L246=1,ROUND(ROUND(H246*M246*100,6),0),0)</f>
        <v>0</v>
      </c>
    </row>
    <row r="247">
      <c r="I247" t="str">
        <f>IF(A247="","",LEN(A247)&amp;"|"&amp;A247&amp;B247)</f>
        <v/>
      </c>
      <c r="J247">
        <f>IF(A247="",0,IF(D247&lt;=Control!$B$2,1,0))</f>
        <v>0</v>
      </c>
      <c r="K247">
        <f>IF(J247=1,IF(SUMPRODUCT($J$2:$J$501*EXACT($I$2:$I$501,I247)*($C$2:$C$501&gt;C247))=0,1,0),0)</f>
        <v>0</v>
      </c>
      <c r="L247">
        <f>IF(K247=1,IF(EXACT(F247,"posted"),IF(E247&lt;=Control!$B$2,1,0),0),0)</f>
        <v>0</v>
      </c>
      <c r="M247">
        <f>IF(A247="",0,SUMPRODUCT(EXACT(Rates!$A$2:$A$4,G247)*Rates!$B$2:$B$4))</f>
        <v>0</v>
      </c>
      <c r="N247">
        <f>IF(L247=1,ROUND(ROUND(H247*M247*100,6),0),0)</f>
        <v>0</v>
      </c>
    </row>
    <row r="248">
      <c r="I248" t="str">
        <f>IF(A248="","",LEN(A248)&amp;"|"&amp;A248&amp;B248)</f>
        <v/>
      </c>
      <c r="J248">
        <f>IF(A248="",0,IF(D248&lt;=Control!$B$2,1,0))</f>
        <v>0</v>
      </c>
      <c r="K248">
        <f>IF(J248=1,IF(SUMPRODUCT($J$2:$J$501*EXACT($I$2:$I$501,I248)*($C$2:$C$501&gt;C248))=0,1,0),0)</f>
        <v>0</v>
      </c>
      <c r="L248">
        <f>IF(K248=1,IF(EXACT(F248,"posted"),IF(E248&lt;=Control!$B$2,1,0),0),0)</f>
        <v>0</v>
      </c>
      <c r="M248">
        <f>IF(A248="",0,SUMPRODUCT(EXACT(Rates!$A$2:$A$4,G248)*Rates!$B$2:$B$4))</f>
        <v>0</v>
      </c>
      <c r="N248">
        <f>IF(L248=1,ROUND(ROUND(H248*M248*100,6),0),0)</f>
        <v>0</v>
      </c>
    </row>
    <row r="249">
      <c r="I249" t="str">
        <f>IF(A249="","",LEN(A249)&amp;"|"&amp;A249&amp;B249)</f>
        <v/>
      </c>
      <c r="J249">
        <f>IF(A249="",0,IF(D249&lt;=Control!$B$2,1,0))</f>
        <v>0</v>
      </c>
      <c r="K249">
        <f>IF(J249=1,IF(SUMPRODUCT($J$2:$J$501*EXACT($I$2:$I$501,I249)*($C$2:$C$501&gt;C249))=0,1,0),0)</f>
        <v>0</v>
      </c>
      <c r="L249">
        <f>IF(K249=1,IF(EXACT(F249,"posted"),IF(E249&lt;=Control!$B$2,1,0),0),0)</f>
        <v>0</v>
      </c>
      <c r="M249">
        <f>IF(A249="",0,SUMPRODUCT(EXACT(Rates!$A$2:$A$4,G249)*Rates!$B$2:$B$4))</f>
        <v>0</v>
      </c>
      <c r="N249">
        <f>IF(L249=1,ROUND(ROUND(H249*M249*100,6),0),0)</f>
        <v>0</v>
      </c>
    </row>
    <row r="250">
      <c r="I250" t="str">
        <f>IF(A250="","",LEN(A250)&amp;"|"&amp;A250&amp;B250)</f>
        <v/>
      </c>
      <c r="J250">
        <f>IF(A250="",0,IF(D250&lt;=Control!$B$2,1,0))</f>
        <v>0</v>
      </c>
      <c r="K250">
        <f>IF(J250=1,IF(SUMPRODUCT($J$2:$J$501*EXACT($I$2:$I$501,I250)*($C$2:$C$501&gt;C250))=0,1,0),0)</f>
        <v>0</v>
      </c>
      <c r="L250">
        <f>IF(K250=1,IF(EXACT(F250,"posted"),IF(E250&lt;=Control!$B$2,1,0),0),0)</f>
        <v>0</v>
      </c>
      <c r="M250">
        <f>IF(A250="",0,SUMPRODUCT(EXACT(Rates!$A$2:$A$4,G250)*Rates!$B$2:$B$4))</f>
        <v>0</v>
      </c>
      <c r="N250">
        <f>IF(L250=1,ROUND(ROUND(H250*M250*100,6),0),0)</f>
        <v>0</v>
      </c>
    </row>
    <row r="251">
      <c r="I251" t="str">
        <f>IF(A251="","",LEN(A251)&amp;"|"&amp;A251&amp;B251)</f>
        <v/>
      </c>
      <c r="J251">
        <f>IF(A251="",0,IF(D251&lt;=Control!$B$2,1,0))</f>
        <v>0</v>
      </c>
      <c r="K251">
        <f>IF(J251=1,IF(SUMPRODUCT($J$2:$J$501*EXACT($I$2:$I$501,I251)*($C$2:$C$501&gt;C251))=0,1,0),0)</f>
        <v>0</v>
      </c>
      <c r="L251">
        <f>IF(K251=1,IF(EXACT(F251,"posted"),IF(E251&lt;=Control!$B$2,1,0),0),0)</f>
        <v>0</v>
      </c>
      <c r="M251">
        <f>IF(A251="",0,SUMPRODUCT(EXACT(Rates!$A$2:$A$4,G251)*Rates!$B$2:$B$4))</f>
        <v>0</v>
      </c>
      <c r="N251">
        <f>IF(L251=1,ROUND(ROUND(H251*M251*100,6),0),0)</f>
        <v>0</v>
      </c>
    </row>
    <row r="252">
      <c r="I252" t="str">
        <f>IF(A252="","",LEN(A252)&amp;"|"&amp;A252&amp;B252)</f>
        <v/>
      </c>
      <c r="J252">
        <f>IF(A252="",0,IF(D252&lt;=Control!$B$2,1,0))</f>
        <v>0</v>
      </c>
      <c r="K252">
        <f>IF(J252=1,IF(SUMPRODUCT($J$2:$J$501*EXACT($I$2:$I$501,I252)*($C$2:$C$501&gt;C252))=0,1,0),0)</f>
        <v>0</v>
      </c>
      <c r="L252">
        <f>IF(K252=1,IF(EXACT(F252,"posted"),IF(E252&lt;=Control!$B$2,1,0),0),0)</f>
        <v>0</v>
      </c>
      <c r="M252">
        <f>IF(A252="",0,SUMPRODUCT(EXACT(Rates!$A$2:$A$4,G252)*Rates!$B$2:$B$4))</f>
        <v>0</v>
      </c>
      <c r="N252">
        <f>IF(L252=1,ROUND(ROUND(H252*M252*100,6),0),0)</f>
        <v>0</v>
      </c>
    </row>
    <row r="253">
      <c r="I253" t="str">
        <f>IF(A253="","",LEN(A253)&amp;"|"&amp;A253&amp;B253)</f>
        <v/>
      </c>
      <c r="J253">
        <f>IF(A253="",0,IF(D253&lt;=Control!$B$2,1,0))</f>
        <v>0</v>
      </c>
      <c r="K253">
        <f>IF(J253=1,IF(SUMPRODUCT($J$2:$J$501*EXACT($I$2:$I$501,I253)*($C$2:$C$501&gt;C253))=0,1,0),0)</f>
        <v>0</v>
      </c>
      <c r="L253">
        <f>IF(K253=1,IF(EXACT(F253,"posted"),IF(E253&lt;=Control!$B$2,1,0),0),0)</f>
        <v>0</v>
      </c>
      <c r="M253">
        <f>IF(A253="",0,SUMPRODUCT(EXACT(Rates!$A$2:$A$4,G253)*Rates!$B$2:$B$4))</f>
        <v>0</v>
      </c>
      <c r="N253">
        <f>IF(L253=1,ROUND(ROUND(H253*M253*100,6),0),0)</f>
        <v>0</v>
      </c>
    </row>
    <row r="254">
      <c r="I254" t="str">
        <f>IF(A254="","",LEN(A254)&amp;"|"&amp;A254&amp;B254)</f>
        <v/>
      </c>
      <c r="J254">
        <f>IF(A254="",0,IF(D254&lt;=Control!$B$2,1,0))</f>
        <v>0</v>
      </c>
      <c r="K254">
        <f>IF(J254=1,IF(SUMPRODUCT($J$2:$J$501*EXACT($I$2:$I$501,I254)*($C$2:$C$501&gt;C254))=0,1,0),0)</f>
        <v>0</v>
      </c>
      <c r="L254">
        <f>IF(K254=1,IF(EXACT(F254,"posted"),IF(E254&lt;=Control!$B$2,1,0),0),0)</f>
        <v>0</v>
      </c>
      <c r="M254">
        <f>IF(A254="",0,SUMPRODUCT(EXACT(Rates!$A$2:$A$4,G254)*Rates!$B$2:$B$4))</f>
        <v>0</v>
      </c>
      <c r="N254">
        <f>IF(L254=1,ROUND(ROUND(H254*M254*100,6),0),0)</f>
        <v>0</v>
      </c>
    </row>
    <row r="255">
      <c r="I255" t="str">
        <f>IF(A255="","",LEN(A255)&amp;"|"&amp;A255&amp;B255)</f>
        <v/>
      </c>
      <c r="J255">
        <f>IF(A255="",0,IF(D255&lt;=Control!$B$2,1,0))</f>
        <v>0</v>
      </c>
      <c r="K255">
        <f>IF(J255=1,IF(SUMPRODUCT($J$2:$J$501*EXACT($I$2:$I$501,I255)*($C$2:$C$501&gt;C255))=0,1,0),0)</f>
        <v>0</v>
      </c>
      <c r="L255">
        <f>IF(K255=1,IF(EXACT(F255,"posted"),IF(E255&lt;=Control!$B$2,1,0),0),0)</f>
        <v>0</v>
      </c>
      <c r="M255">
        <f>IF(A255="",0,SUMPRODUCT(EXACT(Rates!$A$2:$A$4,G255)*Rates!$B$2:$B$4))</f>
        <v>0</v>
      </c>
      <c r="N255">
        <f>IF(L255=1,ROUND(ROUND(H255*M255*100,6),0),0)</f>
        <v>0</v>
      </c>
    </row>
    <row r="256">
      <c r="I256" t="str">
        <f>IF(A256="","",LEN(A256)&amp;"|"&amp;A256&amp;B256)</f>
        <v/>
      </c>
      <c r="J256">
        <f>IF(A256="",0,IF(D256&lt;=Control!$B$2,1,0))</f>
        <v>0</v>
      </c>
      <c r="K256">
        <f>IF(J256=1,IF(SUMPRODUCT($J$2:$J$501*EXACT($I$2:$I$501,I256)*($C$2:$C$501&gt;C256))=0,1,0),0)</f>
        <v>0</v>
      </c>
      <c r="L256">
        <f>IF(K256=1,IF(EXACT(F256,"posted"),IF(E256&lt;=Control!$B$2,1,0),0),0)</f>
        <v>0</v>
      </c>
      <c r="M256">
        <f>IF(A256="",0,SUMPRODUCT(EXACT(Rates!$A$2:$A$4,G256)*Rates!$B$2:$B$4))</f>
        <v>0</v>
      </c>
      <c r="N256">
        <f>IF(L256=1,ROUND(ROUND(H256*M256*100,6),0),0)</f>
        <v>0</v>
      </c>
    </row>
    <row r="257">
      <c r="I257" t="str">
        <f>IF(A257="","",LEN(A257)&amp;"|"&amp;A257&amp;B257)</f>
        <v/>
      </c>
      <c r="J257">
        <f>IF(A257="",0,IF(D257&lt;=Control!$B$2,1,0))</f>
        <v>0</v>
      </c>
      <c r="K257">
        <f>IF(J257=1,IF(SUMPRODUCT($J$2:$J$501*EXACT($I$2:$I$501,I257)*($C$2:$C$501&gt;C257))=0,1,0),0)</f>
        <v>0</v>
      </c>
      <c r="L257">
        <f>IF(K257=1,IF(EXACT(F257,"posted"),IF(E257&lt;=Control!$B$2,1,0),0),0)</f>
        <v>0</v>
      </c>
      <c r="M257">
        <f>IF(A257="",0,SUMPRODUCT(EXACT(Rates!$A$2:$A$4,G257)*Rates!$B$2:$B$4))</f>
        <v>0</v>
      </c>
      <c r="N257">
        <f>IF(L257=1,ROUND(ROUND(H257*M257*100,6),0),0)</f>
        <v>0</v>
      </c>
    </row>
    <row r="258">
      <c r="I258" t="str">
        <f>IF(A258="","",LEN(A258)&amp;"|"&amp;A258&amp;B258)</f>
        <v/>
      </c>
      <c r="J258">
        <f>IF(A258="",0,IF(D258&lt;=Control!$B$2,1,0))</f>
        <v>0</v>
      </c>
      <c r="K258">
        <f>IF(J258=1,IF(SUMPRODUCT($J$2:$J$501*EXACT($I$2:$I$501,I258)*($C$2:$C$501&gt;C258))=0,1,0),0)</f>
        <v>0</v>
      </c>
      <c r="L258">
        <f>IF(K258=1,IF(EXACT(F258,"posted"),IF(E258&lt;=Control!$B$2,1,0),0),0)</f>
        <v>0</v>
      </c>
      <c r="M258">
        <f>IF(A258="",0,SUMPRODUCT(EXACT(Rates!$A$2:$A$4,G258)*Rates!$B$2:$B$4))</f>
        <v>0</v>
      </c>
      <c r="N258">
        <f>IF(L258=1,ROUND(ROUND(H258*M258*100,6),0),0)</f>
        <v>0</v>
      </c>
    </row>
    <row r="259">
      <c r="I259" t="str">
        <f>IF(A259="","",LEN(A259)&amp;"|"&amp;A259&amp;B259)</f>
        <v/>
      </c>
      <c r="J259">
        <f>IF(A259="",0,IF(D259&lt;=Control!$B$2,1,0))</f>
        <v>0</v>
      </c>
      <c r="K259">
        <f>IF(J259=1,IF(SUMPRODUCT($J$2:$J$501*EXACT($I$2:$I$501,I259)*($C$2:$C$501&gt;C259))=0,1,0),0)</f>
        <v>0</v>
      </c>
      <c r="L259">
        <f>IF(K259=1,IF(EXACT(F259,"posted"),IF(E259&lt;=Control!$B$2,1,0),0),0)</f>
        <v>0</v>
      </c>
      <c r="M259">
        <f>IF(A259="",0,SUMPRODUCT(EXACT(Rates!$A$2:$A$4,G259)*Rates!$B$2:$B$4))</f>
        <v>0</v>
      </c>
      <c r="N259">
        <f>IF(L259=1,ROUND(ROUND(H259*M259*100,6),0),0)</f>
        <v>0</v>
      </c>
    </row>
    <row r="260">
      <c r="I260" t="str">
        <f>IF(A260="","",LEN(A260)&amp;"|"&amp;A260&amp;B260)</f>
        <v/>
      </c>
      <c r="J260">
        <f>IF(A260="",0,IF(D260&lt;=Control!$B$2,1,0))</f>
        <v>0</v>
      </c>
      <c r="K260">
        <f>IF(J260=1,IF(SUMPRODUCT($J$2:$J$501*EXACT($I$2:$I$501,I260)*($C$2:$C$501&gt;C260))=0,1,0),0)</f>
        <v>0</v>
      </c>
      <c r="L260">
        <f>IF(K260=1,IF(EXACT(F260,"posted"),IF(E260&lt;=Control!$B$2,1,0),0),0)</f>
        <v>0</v>
      </c>
      <c r="M260">
        <f>IF(A260="",0,SUMPRODUCT(EXACT(Rates!$A$2:$A$4,G260)*Rates!$B$2:$B$4))</f>
        <v>0</v>
      </c>
      <c r="N260">
        <f>IF(L260=1,ROUND(ROUND(H260*M260*100,6),0),0)</f>
        <v>0</v>
      </c>
    </row>
    <row r="261">
      <c r="I261" t="str">
        <f>IF(A261="","",LEN(A261)&amp;"|"&amp;A261&amp;B261)</f>
        <v/>
      </c>
      <c r="J261">
        <f>IF(A261="",0,IF(D261&lt;=Control!$B$2,1,0))</f>
        <v>0</v>
      </c>
      <c r="K261">
        <f>IF(J261=1,IF(SUMPRODUCT($J$2:$J$501*EXACT($I$2:$I$501,I261)*($C$2:$C$501&gt;C261))=0,1,0),0)</f>
        <v>0</v>
      </c>
      <c r="L261">
        <f>IF(K261=1,IF(EXACT(F261,"posted"),IF(E261&lt;=Control!$B$2,1,0),0),0)</f>
        <v>0</v>
      </c>
      <c r="M261">
        <f>IF(A261="",0,SUMPRODUCT(EXACT(Rates!$A$2:$A$4,G261)*Rates!$B$2:$B$4))</f>
        <v>0</v>
      </c>
      <c r="N261">
        <f>IF(L261=1,ROUND(ROUND(H261*M261*100,6),0),0)</f>
        <v>0</v>
      </c>
    </row>
    <row r="262">
      <c r="I262" t="str">
        <f>IF(A262="","",LEN(A262)&amp;"|"&amp;A262&amp;B262)</f>
        <v/>
      </c>
      <c r="J262">
        <f>IF(A262="",0,IF(D262&lt;=Control!$B$2,1,0))</f>
        <v>0</v>
      </c>
      <c r="K262">
        <f>IF(J262=1,IF(SUMPRODUCT($J$2:$J$501*EXACT($I$2:$I$501,I262)*($C$2:$C$501&gt;C262))=0,1,0),0)</f>
        <v>0</v>
      </c>
      <c r="L262">
        <f>IF(K262=1,IF(EXACT(F262,"posted"),IF(E262&lt;=Control!$B$2,1,0),0),0)</f>
        <v>0</v>
      </c>
      <c r="M262">
        <f>IF(A262="",0,SUMPRODUCT(EXACT(Rates!$A$2:$A$4,G262)*Rates!$B$2:$B$4))</f>
        <v>0</v>
      </c>
      <c r="N262">
        <f>IF(L262=1,ROUND(ROUND(H262*M262*100,6),0),0)</f>
        <v>0</v>
      </c>
    </row>
    <row r="263">
      <c r="I263" t="str">
        <f>IF(A263="","",LEN(A263)&amp;"|"&amp;A263&amp;B263)</f>
        <v/>
      </c>
      <c r="J263">
        <f>IF(A263="",0,IF(D263&lt;=Control!$B$2,1,0))</f>
        <v>0</v>
      </c>
      <c r="K263">
        <f>IF(J263=1,IF(SUMPRODUCT($J$2:$J$501*EXACT($I$2:$I$501,I263)*($C$2:$C$501&gt;C263))=0,1,0),0)</f>
        <v>0</v>
      </c>
      <c r="L263">
        <f>IF(K263=1,IF(EXACT(F263,"posted"),IF(E263&lt;=Control!$B$2,1,0),0),0)</f>
        <v>0</v>
      </c>
      <c r="M263">
        <f>IF(A263="",0,SUMPRODUCT(EXACT(Rates!$A$2:$A$4,G263)*Rates!$B$2:$B$4))</f>
        <v>0</v>
      </c>
      <c r="N263">
        <f>IF(L263=1,ROUND(ROUND(H263*M263*100,6),0),0)</f>
        <v>0</v>
      </c>
    </row>
    <row r="264">
      <c r="I264" t="str">
        <f>IF(A264="","",LEN(A264)&amp;"|"&amp;A264&amp;B264)</f>
        <v/>
      </c>
      <c r="J264">
        <f>IF(A264="",0,IF(D264&lt;=Control!$B$2,1,0))</f>
        <v>0</v>
      </c>
      <c r="K264">
        <f>IF(J264=1,IF(SUMPRODUCT($J$2:$J$501*EXACT($I$2:$I$501,I264)*($C$2:$C$501&gt;C264))=0,1,0),0)</f>
        <v>0</v>
      </c>
      <c r="L264">
        <f>IF(K264=1,IF(EXACT(F264,"posted"),IF(E264&lt;=Control!$B$2,1,0),0),0)</f>
        <v>0</v>
      </c>
      <c r="M264">
        <f>IF(A264="",0,SUMPRODUCT(EXACT(Rates!$A$2:$A$4,G264)*Rates!$B$2:$B$4))</f>
        <v>0</v>
      </c>
      <c r="N264">
        <f>IF(L264=1,ROUND(ROUND(H264*M264*100,6),0),0)</f>
        <v>0</v>
      </c>
    </row>
    <row r="265">
      <c r="I265" t="str">
        <f>IF(A265="","",LEN(A265)&amp;"|"&amp;A265&amp;B265)</f>
        <v/>
      </c>
      <c r="J265">
        <f>IF(A265="",0,IF(D265&lt;=Control!$B$2,1,0))</f>
        <v>0</v>
      </c>
      <c r="K265">
        <f>IF(J265=1,IF(SUMPRODUCT($J$2:$J$501*EXACT($I$2:$I$501,I265)*($C$2:$C$501&gt;C265))=0,1,0),0)</f>
        <v>0</v>
      </c>
      <c r="L265">
        <f>IF(K265=1,IF(EXACT(F265,"posted"),IF(E265&lt;=Control!$B$2,1,0),0),0)</f>
        <v>0</v>
      </c>
      <c r="M265">
        <f>IF(A265="",0,SUMPRODUCT(EXACT(Rates!$A$2:$A$4,G265)*Rates!$B$2:$B$4))</f>
        <v>0</v>
      </c>
      <c r="N265">
        <f>IF(L265=1,ROUND(ROUND(H265*M265*100,6),0),0)</f>
        <v>0</v>
      </c>
    </row>
    <row r="266">
      <c r="I266" t="str">
        <f>IF(A266="","",LEN(A266)&amp;"|"&amp;A266&amp;B266)</f>
        <v/>
      </c>
      <c r="J266">
        <f>IF(A266="",0,IF(D266&lt;=Control!$B$2,1,0))</f>
        <v>0</v>
      </c>
      <c r="K266">
        <f>IF(J266=1,IF(SUMPRODUCT($J$2:$J$501*EXACT($I$2:$I$501,I266)*($C$2:$C$501&gt;C266))=0,1,0),0)</f>
        <v>0</v>
      </c>
      <c r="L266">
        <f>IF(K266=1,IF(EXACT(F266,"posted"),IF(E266&lt;=Control!$B$2,1,0),0),0)</f>
        <v>0</v>
      </c>
      <c r="M266">
        <f>IF(A266="",0,SUMPRODUCT(EXACT(Rates!$A$2:$A$4,G266)*Rates!$B$2:$B$4))</f>
        <v>0</v>
      </c>
      <c r="N266">
        <f>IF(L266=1,ROUND(ROUND(H266*M266*100,6),0),0)</f>
        <v>0</v>
      </c>
    </row>
    <row r="267">
      <c r="I267" t="str">
        <f>IF(A267="","",LEN(A267)&amp;"|"&amp;A267&amp;B267)</f>
        <v/>
      </c>
      <c r="J267">
        <f>IF(A267="",0,IF(D267&lt;=Control!$B$2,1,0))</f>
        <v>0</v>
      </c>
      <c r="K267">
        <f>IF(J267=1,IF(SUMPRODUCT($J$2:$J$501*EXACT($I$2:$I$501,I267)*($C$2:$C$501&gt;C267))=0,1,0),0)</f>
        <v>0</v>
      </c>
      <c r="L267">
        <f>IF(K267=1,IF(EXACT(F267,"posted"),IF(E267&lt;=Control!$B$2,1,0),0),0)</f>
        <v>0</v>
      </c>
      <c r="M267">
        <f>IF(A267="",0,SUMPRODUCT(EXACT(Rates!$A$2:$A$4,G267)*Rates!$B$2:$B$4))</f>
        <v>0</v>
      </c>
      <c r="N267">
        <f>IF(L267=1,ROUND(ROUND(H267*M267*100,6),0),0)</f>
        <v>0</v>
      </c>
    </row>
    <row r="268">
      <c r="I268" t="str">
        <f>IF(A268="","",LEN(A268)&amp;"|"&amp;A268&amp;B268)</f>
        <v/>
      </c>
      <c r="J268">
        <f>IF(A268="",0,IF(D268&lt;=Control!$B$2,1,0))</f>
        <v>0</v>
      </c>
      <c r="K268">
        <f>IF(J268=1,IF(SUMPRODUCT($J$2:$J$501*EXACT($I$2:$I$501,I268)*($C$2:$C$501&gt;C268))=0,1,0),0)</f>
        <v>0</v>
      </c>
      <c r="L268">
        <f>IF(K268=1,IF(EXACT(F268,"posted"),IF(E268&lt;=Control!$B$2,1,0),0),0)</f>
        <v>0</v>
      </c>
      <c r="M268">
        <f>IF(A268="",0,SUMPRODUCT(EXACT(Rates!$A$2:$A$4,G268)*Rates!$B$2:$B$4))</f>
        <v>0</v>
      </c>
      <c r="N268">
        <f>IF(L268=1,ROUND(ROUND(H268*M268*100,6),0),0)</f>
        <v>0</v>
      </c>
    </row>
    <row r="269">
      <c r="I269" t="str">
        <f>IF(A269="","",LEN(A269)&amp;"|"&amp;A269&amp;B269)</f>
        <v/>
      </c>
      <c r="J269">
        <f>IF(A269="",0,IF(D269&lt;=Control!$B$2,1,0))</f>
        <v>0</v>
      </c>
      <c r="K269">
        <f>IF(J269=1,IF(SUMPRODUCT($J$2:$J$501*EXACT($I$2:$I$501,I269)*($C$2:$C$501&gt;C269))=0,1,0),0)</f>
        <v>0</v>
      </c>
      <c r="L269">
        <f>IF(K269=1,IF(EXACT(F269,"posted"),IF(E269&lt;=Control!$B$2,1,0),0),0)</f>
        <v>0</v>
      </c>
      <c r="M269">
        <f>IF(A269="",0,SUMPRODUCT(EXACT(Rates!$A$2:$A$4,G269)*Rates!$B$2:$B$4))</f>
        <v>0</v>
      </c>
      <c r="N269">
        <f>IF(L269=1,ROUND(ROUND(H269*M269*100,6),0),0)</f>
        <v>0</v>
      </c>
    </row>
    <row r="270">
      <c r="I270" t="str">
        <f>IF(A270="","",LEN(A270)&amp;"|"&amp;A270&amp;B270)</f>
        <v/>
      </c>
      <c r="J270">
        <f>IF(A270="",0,IF(D270&lt;=Control!$B$2,1,0))</f>
        <v>0</v>
      </c>
      <c r="K270">
        <f>IF(J270=1,IF(SUMPRODUCT($J$2:$J$501*EXACT($I$2:$I$501,I270)*($C$2:$C$501&gt;C270))=0,1,0),0)</f>
        <v>0</v>
      </c>
      <c r="L270">
        <f>IF(K270=1,IF(EXACT(F270,"posted"),IF(E270&lt;=Control!$B$2,1,0),0),0)</f>
        <v>0</v>
      </c>
      <c r="M270">
        <f>IF(A270="",0,SUMPRODUCT(EXACT(Rates!$A$2:$A$4,G270)*Rates!$B$2:$B$4))</f>
        <v>0</v>
      </c>
      <c r="N270">
        <f>IF(L270=1,ROUND(ROUND(H270*M270*100,6),0),0)</f>
        <v>0</v>
      </c>
    </row>
    <row r="271">
      <c r="I271" t="str">
        <f>IF(A271="","",LEN(A271)&amp;"|"&amp;A271&amp;B271)</f>
        <v/>
      </c>
      <c r="J271">
        <f>IF(A271="",0,IF(D271&lt;=Control!$B$2,1,0))</f>
        <v>0</v>
      </c>
      <c r="K271">
        <f>IF(J271=1,IF(SUMPRODUCT($J$2:$J$501*EXACT($I$2:$I$501,I271)*($C$2:$C$501&gt;C271))=0,1,0),0)</f>
        <v>0</v>
      </c>
      <c r="L271">
        <f>IF(K271=1,IF(EXACT(F271,"posted"),IF(E271&lt;=Control!$B$2,1,0),0),0)</f>
        <v>0</v>
      </c>
      <c r="M271">
        <f>IF(A271="",0,SUMPRODUCT(EXACT(Rates!$A$2:$A$4,G271)*Rates!$B$2:$B$4))</f>
        <v>0</v>
      </c>
      <c r="N271">
        <f>IF(L271=1,ROUND(ROUND(H271*M271*100,6),0),0)</f>
        <v>0</v>
      </c>
    </row>
    <row r="272">
      <c r="I272" t="str">
        <f>IF(A272="","",LEN(A272)&amp;"|"&amp;A272&amp;B272)</f>
        <v/>
      </c>
      <c r="J272">
        <f>IF(A272="",0,IF(D272&lt;=Control!$B$2,1,0))</f>
        <v>0</v>
      </c>
      <c r="K272">
        <f>IF(J272=1,IF(SUMPRODUCT($J$2:$J$501*EXACT($I$2:$I$501,I272)*($C$2:$C$501&gt;C272))=0,1,0),0)</f>
        <v>0</v>
      </c>
      <c r="L272">
        <f>IF(K272=1,IF(EXACT(F272,"posted"),IF(E272&lt;=Control!$B$2,1,0),0),0)</f>
        <v>0</v>
      </c>
      <c r="M272">
        <f>IF(A272="",0,SUMPRODUCT(EXACT(Rates!$A$2:$A$4,G272)*Rates!$B$2:$B$4))</f>
        <v>0</v>
      </c>
      <c r="N272">
        <f>IF(L272=1,ROUND(ROUND(H272*M272*100,6),0),0)</f>
        <v>0</v>
      </c>
    </row>
    <row r="273">
      <c r="I273" t="str">
        <f>IF(A273="","",LEN(A273)&amp;"|"&amp;A273&amp;B273)</f>
        <v/>
      </c>
      <c r="J273">
        <f>IF(A273="",0,IF(D273&lt;=Control!$B$2,1,0))</f>
        <v>0</v>
      </c>
      <c r="K273">
        <f>IF(J273=1,IF(SUMPRODUCT($J$2:$J$501*EXACT($I$2:$I$501,I273)*($C$2:$C$501&gt;C273))=0,1,0),0)</f>
        <v>0</v>
      </c>
      <c r="L273">
        <f>IF(K273=1,IF(EXACT(F273,"posted"),IF(E273&lt;=Control!$B$2,1,0),0),0)</f>
        <v>0</v>
      </c>
      <c r="M273">
        <f>IF(A273="",0,SUMPRODUCT(EXACT(Rates!$A$2:$A$4,G273)*Rates!$B$2:$B$4))</f>
        <v>0</v>
      </c>
      <c r="N273">
        <f>IF(L273=1,ROUND(ROUND(H273*M273*100,6),0),0)</f>
        <v>0</v>
      </c>
    </row>
    <row r="274">
      <c r="I274" t="str">
        <f>IF(A274="","",LEN(A274)&amp;"|"&amp;A274&amp;B274)</f>
        <v/>
      </c>
      <c r="J274">
        <f>IF(A274="",0,IF(D274&lt;=Control!$B$2,1,0))</f>
        <v>0</v>
      </c>
      <c r="K274">
        <f>IF(J274=1,IF(SUMPRODUCT($J$2:$J$501*EXACT($I$2:$I$501,I274)*($C$2:$C$501&gt;C274))=0,1,0),0)</f>
        <v>0</v>
      </c>
      <c r="L274">
        <f>IF(K274=1,IF(EXACT(F274,"posted"),IF(E274&lt;=Control!$B$2,1,0),0),0)</f>
        <v>0</v>
      </c>
      <c r="M274">
        <f>IF(A274="",0,SUMPRODUCT(EXACT(Rates!$A$2:$A$4,G274)*Rates!$B$2:$B$4))</f>
        <v>0</v>
      </c>
      <c r="N274">
        <f>IF(L274=1,ROUND(ROUND(H274*M274*100,6),0),0)</f>
        <v>0</v>
      </c>
    </row>
    <row r="275">
      <c r="I275" t="str">
        <f>IF(A275="","",LEN(A275)&amp;"|"&amp;A275&amp;B275)</f>
        <v/>
      </c>
      <c r="J275">
        <f>IF(A275="",0,IF(D275&lt;=Control!$B$2,1,0))</f>
        <v>0</v>
      </c>
      <c r="K275">
        <f>IF(J275=1,IF(SUMPRODUCT($J$2:$J$501*EXACT($I$2:$I$501,I275)*($C$2:$C$501&gt;C275))=0,1,0),0)</f>
        <v>0</v>
      </c>
      <c r="L275">
        <f>IF(K275=1,IF(EXACT(F275,"posted"),IF(E275&lt;=Control!$B$2,1,0),0),0)</f>
        <v>0</v>
      </c>
      <c r="M275">
        <f>IF(A275="",0,SUMPRODUCT(EXACT(Rates!$A$2:$A$4,G275)*Rates!$B$2:$B$4))</f>
        <v>0</v>
      </c>
      <c r="N275">
        <f>IF(L275=1,ROUND(ROUND(H275*M275*100,6),0),0)</f>
        <v>0</v>
      </c>
    </row>
    <row r="276">
      <c r="I276" t="str">
        <f>IF(A276="","",LEN(A276)&amp;"|"&amp;A276&amp;B276)</f>
        <v/>
      </c>
      <c r="J276">
        <f>IF(A276="",0,IF(D276&lt;=Control!$B$2,1,0))</f>
        <v>0</v>
      </c>
      <c r="K276">
        <f>IF(J276=1,IF(SUMPRODUCT($J$2:$J$501*EXACT($I$2:$I$501,I276)*($C$2:$C$501&gt;C276))=0,1,0),0)</f>
        <v>0</v>
      </c>
      <c r="L276">
        <f>IF(K276=1,IF(EXACT(F276,"posted"),IF(E276&lt;=Control!$B$2,1,0),0),0)</f>
        <v>0</v>
      </c>
      <c r="M276">
        <f>IF(A276="",0,SUMPRODUCT(EXACT(Rates!$A$2:$A$4,G276)*Rates!$B$2:$B$4))</f>
        <v>0</v>
      </c>
      <c r="N276">
        <f>IF(L276=1,ROUND(ROUND(H276*M276*100,6),0),0)</f>
        <v>0</v>
      </c>
    </row>
    <row r="277">
      <c r="I277" t="str">
        <f>IF(A277="","",LEN(A277)&amp;"|"&amp;A277&amp;B277)</f>
        <v/>
      </c>
      <c r="J277">
        <f>IF(A277="",0,IF(D277&lt;=Control!$B$2,1,0))</f>
        <v>0</v>
      </c>
      <c r="K277">
        <f>IF(J277=1,IF(SUMPRODUCT($J$2:$J$501*EXACT($I$2:$I$501,I277)*($C$2:$C$501&gt;C277))=0,1,0),0)</f>
        <v>0</v>
      </c>
      <c r="L277">
        <f>IF(K277=1,IF(EXACT(F277,"posted"),IF(E277&lt;=Control!$B$2,1,0),0),0)</f>
        <v>0</v>
      </c>
      <c r="M277">
        <f>IF(A277="",0,SUMPRODUCT(EXACT(Rates!$A$2:$A$4,G277)*Rates!$B$2:$B$4))</f>
        <v>0</v>
      </c>
      <c r="N277">
        <f>IF(L277=1,ROUND(ROUND(H277*M277*100,6),0),0)</f>
        <v>0</v>
      </c>
    </row>
    <row r="278">
      <c r="I278" t="str">
        <f>IF(A278="","",LEN(A278)&amp;"|"&amp;A278&amp;B278)</f>
        <v/>
      </c>
      <c r="J278">
        <f>IF(A278="",0,IF(D278&lt;=Control!$B$2,1,0))</f>
        <v>0</v>
      </c>
      <c r="K278">
        <f>IF(J278=1,IF(SUMPRODUCT($J$2:$J$501*EXACT($I$2:$I$501,I278)*($C$2:$C$501&gt;C278))=0,1,0),0)</f>
        <v>0</v>
      </c>
      <c r="L278">
        <f>IF(K278=1,IF(EXACT(F278,"posted"),IF(E278&lt;=Control!$B$2,1,0),0),0)</f>
        <v>0</v>
      </c>
      <c r="M278">
        <f>IF(A278="",0,SUMPRODUCT(EXACT(Rates!$A$2:$A$4,G278)*Rates!$B$2:$B$4))</f>
        <v>0</v>
      </c>
      <c r="N278">
        <f>IF(L278=1,ROUND(ROUND(H278*M278*100,6),0),0)</f>
        <v>0</v>
      </c>
    </row>
    <row r="279">
      <c r="I279" t="str">
        <f>IF(A279="","",LEN(A279)&amp;"|"&amp;A279&amp;B279)</f>
        <v/>
      </c>
      <c r="J279">
        <f>IF(A279="",0,IF(D279&lt;=Control!$B$2,1,0))</f>
        <v>0</v>
      </c>
      <c r="K279">
        <f>IF(J279=1,IF(SUMPRODUCT($J$2:$J$501*EXACT($I$2:$I$501,I279)*($C$2:$C$501&gt;C279))=0,1,0),0)</f>
        <v>0</v>
      </c>
      <c r="L279">
        <f>IF(K279=1,IF(EXACT(F279,"posted"),IF(E279&lt;=Control!$B$2,1,0),0),0)</f>
        <v>0</v>
      </c>
      <c r="M279">
        <f>IF(A279="",0,SUMPRODUCT(EXACT(Rates!$A$2:$A$4,G279)*Rates!$B$2:$B$4))</f>
        <v>0</v>
      </c>
      <c r="N279">
        <f>IF(L279=1,ROUND(ROUND(H279*M279*100,6),0),0)</f>
        <v>0</v>
      </c>
    </row>
    <row r="280">
      <c r="I280" t="str">
        <f>IF(A280="","",LEN(A280)&amp;"|"&amp;A280&amp;B280)</f>
        <v/>
      </c>
      <c r="J280">
        <f>IF(A280="",0,IF(D280&lt;=Control!$B$2,1,0))</f>
        <v>0</v>
      </c>
      <c r="K280">
        <f>IF(J280=1,IF(SUMPRODUCT($J$2:$J$501*EXACT($I$2:$I$501,I280)*($C$2:$C$501&gt;C280))=0,1,0),0)</f>
        <v>0</v>
      </c>
      <c r="L280">
        <f>IF(K280=1,IF(EXACT(F280,"posted"),IF(E280&lt;=Control!$B$2,1,0),0),0)</f>
        <v>0</v>
      </c>
      <c r="M280">
        <f>IF(A280="",0,SUMPRODUCT(EXACT(Rates!$A$2:$A$4,G280)*Rates!$B$2:$B$4))</f>
        <v>0</v>
      </c>
      <c r="N280">
        <f>IF(L280=1,ROUND(ROUND(H280*M280*100,6),0),0)</f>
        <v>0</v>
      </c>
    </row>
    <row r="281">
      <c r="I281" t="str">
        <f>IF(A281="","",LEN(A281)&amp;"|"&amp;A281&amp;B281)</f>
        <v/>
      </c>
      <c r="J281">
        <f>IF(A281="",0,IF(D281&lt;=Control!$B$2,1,0))</f>
        <v>0</v>
      </c>
      <c r="K281">
        <f>IF(J281=1,IF(SUMPRODUCT($J$2:$J$501*EXACT($I$2:$I$501,I281)*($C$2:$C$501&gt;C281))=0,1,0),0)</f>
        <v>0</v>
      </c>
      <c r="L281">
        <f>IF(K281=1,IF(EXACT(F281,"posted"),IF(E281&lt;=Control!$B$2,1,0),0),0)</f>
        <v>0</v>
      </c>
      <c r="M281">
        <f>IF(A281="",0,SUMPRODUCT(EXACT(Rates!$A$2:$A$4,G281)*Rates!$B$2:$B$4))</f>
        <v>0</v>
      </c>
      <c r="N281">
        <f>IF(L281=1,ROUND(ROUND(H281*M281*100,6),0),0)</f>
        <v>0</v>
      </c>
    </row>
    <row r="282">
      <c r="I282" t="str">
        <f>IF(A282="","",LEN(A282)&amp;"|"&amp;A282&amp;B282)</f>
        <v/>
      </c>
      <c r="J282">
        <f>IF(A282="",0,IF(D282&lt;=Control!$B$2,1,0))</f>
        <v>0</v>
      </c>
      <c r="K282">
        <f>IF(J282=1,IF(SUMPRODUCT($J$2:$J$501*EXACT($I$2:$I$501,I282)*($C$2:$C$501&gt;C282))=0,1,0),0)</f>
        <v>0</v>
      </c>
      <c r="L282">
        <f>IF(K282=1,IF(EXACT(F282,"posted"),IF(E282&lt;=Control!$B$2,1,0),0),0)</f>
        <v>0</v>
      </c>
      <c r="M282">
        <f>IF(A282="",0,SUMPRODUCT(EXACT(Rates!$A$2:$A$4,G282)*Rates!$B$2:$B$4))</f>
        <v>0</v>
      </c>
      <c r="N282">
        <f>IF(L282=1,ROUND(ROUND(H282*M282*100,6),0),0)</f>
        <v>0</v>
      </c>
    </row>
    <row r="283">
      <c r="I283" t="str">
        <f>IF(A283="","",LEN(A283)&amp;"|"&amp;A283&amp;B283)</f>
        <v/>
      </c>
      <c r="J283">
        <f>IF(A283="",0,IF(D283&lt;=Control!$B$2,1,0))</f>
        <v>0</v>
      </c>
      <c r="K283">
        <f>IF(J283=1,IF(SUMPRODUCT($J$2:$J$501*EXACT($I$2:$I$501,I283)*($C$2:$C$501&gt;C283))=0,1,0),0)</f>
        <v>0</v>
      </c>
      <c r="L283">
        <f>IF(K283=1,IF(EXACT(F283,"posted"),IF(E283&lt;=Control!$B$2,1,0),0),0)</f>
        <v>0</v>
      </c>
      <c r="M283">
        <f>IF(A283="",0,SUMPRODUCT(EXACT(Rates!$A$2:$A$4,G283)*Rates!$B$2:$B$4))</f>
        <v>0</v>
      </c>
      <c r="N283">
        <f>IF(L283=1,ROUND(ROUND(H283*M283*100,6),0),0)</f>
        <v>0</v>
      </c>
    </row>
    <row r="284">
      <c r="I284" t="str">
        <f>IF(A284="","",LEN(A284)&amp;"|"&amp;A284&amp;B284)</f>
        <v/>
      </c>
      <c r="J284">
        <f>IF(A284="",0,IF(D284&lt;=Control!$B$2,1,0))</f>
        <v>0</v>
      </c>
      <c r="K284">
        <f>IF(J284=1,IF(SUMPRODUCT($J$2:$J$501*EXACT($I$2:$I$501,I284)*($C$2:$C$501&gt;C284))=0,1,0),0)</f>
        <v>0</v>
      </c>
      <c r="L284">
        <f>IF(K284=1,IF(EXACT(F284,"posted"),IF(E284&lt;=Control!$B$2,1,0),0),0)</f>
        <v>0</v>
      </c>
      <c r="M284">
        <f>IF(A284="",0,SUMPRODUCT(EXACT(Rates!$A$2:$A$4,G284)*Rates!$B$2:$B$4))</f>
        <v>0</v>
      </c>
      <c r="N284">
        <f>IF(L284=1,ROUND(ROUND(H284*M284*100,6),0),0)</f>
        <v>0</v>
      </c>
    </row>
    <row r="285">
      <c r="I285" t="str">
        <f>IF(A285="","",LEN(A285)&amp;"|"&amp;A285&amp;B285)</f>
        <v/>
      </c>
      <c r="J285">
        <f>IF(A285="",0,IF(D285&lt;=Control!$B$2,1,0))</f>
        <v>0</v>
      </c>
      <c r="K285">
        <f>IF(J285=1,IF(SUMPRODUCT($J$2:$J$501*EXACT($I$2:$I$501,I285)*($C$2:$C$501&gt;C285))=0,1,0),0)</f>
        <v>0</v>
      </c>
      <c r="L285">
        <f>IF(K285=1,IF(EXACT(F285,"posted"),IF(E285&lt;=Control!$B$2,1,0),0),0)</f>
        <v>0</v>
      </c>
      <c r="M285">
        <f>IF(A285="",0,SUMPRODUCT(EXACT(Rates!$A$2:$A$4,G285)*Rates!$B$2:$B$4))</f>
        <v>0</v>
      </c>
      <c r="N285">
        <f>IF(L285=1,ROUND(ROUND(H285*M285*100,6),0),0)</f>
        <v>0</v>
      </c>
    </row>
    <row r="286">
      <c r="I286" t="str">
        <f>IF(A286="","",LEN(A286)&amp;"|"&amp;A286&amp;B286)</f>
        <v/>
      </c>
      <c r="J286">
        <f>IF(A286="",0,IF(D286&lt;=Control!$B$2,1,0))</f>
        <v>0</v>
      </c>
      <c r="K286">
        <f>IF(J286=1,IF(SUMPRODUCT($J$2:$J$501*EXACT($I$2:$I$501,I286)*($C$2:$C$501&gt;C286))=0,1,0),0)</f>
        <v>0</v>
      </c>
      <c r="L286">
        <f>IF(K286=1,IF(EXACT(F286,"posted"),IF(E286&lt;=Control!$B$2,1,0),0),0)</f>
        <v>0</v>
      </c>
      <c r="M286">
        <f>IF(A286="",0,SUMPRODUCT(EXACT(Rates!$A$2:$A$4,G286)*Rates!$B$2:$B$4))</f>
        <v>0</v>
      </c>
      <c r="N286">
        <f>IF(L286=1,ROUND(ROUND(H286*M286*100,6),0),0)</f>
        <v>0</v>
      </c>
    </row>
    <row r="287">
      <c r="I287" t="str">
        <f>IF(A287="","",LEN(A287)&amp;"|"&amp;A287&amp;B287)</f>
        <v/>
      </c>
      <c r="J287">
        <f>IF(A287="",0,IF(D287&lt;=Control!$B$2,1,0))</f>
        <v>0</v>
      </c>
      <c r="K287">
        <f>IF(J287=1,IF(SUMPRODUCT($J$2:$J$501*EXACT($I$2:$I$501,I287)*($C$2:$C$501&gt;C287))=0,1,0),0)</f>
        <v>0</v>
      </c>
      <c r="L287">
        <f>IF(K287=1,IF(EXACT(F287,"posted"),IF(E287&lt;=Control!$B$2,1,0),0),0)</f>
        <v>0</v>
      </c>
      <c r="M287">
        <f>IF(A287="",0,SUMPRODUCT(EXACT(Rates!$A$2:$A$4,G287)*Rates!$B$2:$B$4))</f>
        <v>0</v>
      </c>
      <c r="N287">
        <f>IF(L287=1,ROUND(ROUND(H287*M287*100,6),0),0)</f>
        <v>0</v>
      </c>
    </row>
    <row r="288">
      <c r="I288" t="str">
        <f>IF(A288="","",LEN(A288)&amp;"|"&amp;A288&amp;B288)</f>
        <v/>
      </c>
      <c r="J288">
        <f>IF(A288="",0,IF(D288&lt;=Control!$B$2,1,0))</f>
        <v>0</v>
      </c>
      <c r="K288">
        <f>IF(J288=1,IF(SUMPRODUCT($J$2:$J$501*EXACT($I$2:$I$501,I288)*($C$2:$C$501&gt;C288))=0,1,0),0)</f>
        <v>0</v>
      </c>
      <c r="L288">
        <f>IF(K288=1,IF(EXACT(F288,"posted"),IF(E288&lt;=Control!$B$2,1,0),0),0)</f>
        <v>0</v>
      </c>
      <c r="M288">
        <f>IF(A288="",0,SUMPRODUCT(EXACT(Rates!$A$2:$A$4,G288)*Rates!$B$2:$B$4))</f>
        <v>0</v>
      </c>
      <c r="N288">
        <f>IF(L288=1,ROUND(ROUND(H288*M288*100,6),0),0)</f>
        <v>0</v>
      </c>
    </row>
    <row r="289">
      <c r="I289" t="str">
        <f>IF(A289="","",LEN(A289)&amp;"|"&amp;A289&amp;B289)</f>
        <v/>
      </c>
      <c r="J289">
        <f>IF(A289="",0,IF(D289&lt;=Control!$B$2,1,0))</f>
        <v>0</v>
      </c>
      <c r="K289">
        <f>IF(J289=1,IF(SUMPRODUCT($J$2:$J$501*EXACT($I$2:$I$501,I289)*($C$2:$C$501&gt;C289))=0,1,0),0)</f>
        <v>0</v>
      </c>
      <c r="L289">
        <f>IF(K289=1,IF(EXACT(F289,"posted"),IF(E289&lt;=Control!$B$2,1,0),0),0)</f>
        <v>0</v>
      </c>
      <c r="M289">
        <f>IF(A289="",0,SUMPRODUCT(EXACT(Rates!$A$2:$A$4,G289)*Rates!$B$2:$B$4))</f>
        <v>0</v>
      </c>
      <c r="N289">
        <f>IF(L289=1,ROUND(ROUND(H289*M289*100,6),0),0)</f>
        <v>0</v>
      </c>
    </row>
    <row r="290">
      <c r="I290" t="str">
        <f>IF(A290="","",LEN(A290)&amp;"|"&amp;A290&amp;B290)</f>
        <v/>
      </c>
      <c r="J290">
        <f>IF(A290="",0,IF(D290&lt;=Control!$B$2,1,0))</f>
        <v>0</v>
      </c>
      <c r="K290">
        <f>IF(J290=1,IF(SUMPRODUCT($J$2:$J$501*EXACT($I$2:$I$501,I290)*($C$2:$C$501&gt;C290))=0,1,0),0)</f>
        <v>0</v>
      </c>
      <c r="L290">
        <f>IF(K290=1,IF(EXACT(F290,"posted"),IF(E290&lt;=Control!$B$2,1,0),0),0)</f>
        <v>0</v>
      </c>
      <c r="M290">
        <f>IF(A290="",0,SUMPRODUCT(EXACT(Rates!$A$2:$A$4,G290)*Rates!$B$2:$B$4))</f>
        <v>0</v>
      </c>
      <c r="N290">
        <f>IF(L290=1,ROUND(ROUND(H290*M290*100,6),0),0)</f>
        <v>0</v>
      </c>
    </row>
    <row r="291">
      <c r="I291" t="str">
        <f>IF(A291="","",LEN(A291)&amp;"|"&amp;A291&amp;B291)</f>
        <v/>
      </c>
      <c r="J291">
        <f>IF(A291="",0,IF(D291&lt;=Control!$B$2,1,0))</f>
        <v>0</v>
      </c>
      <c r="K291">
        <f>IF(J291=1,IF(SUMPRODUCT($J$2:$J$501*EXACT($I$2:$I$501,I291)*($C$2:$C$501&gt;C291))=0,1,0),0)</f>
        <v>0</v>
      </c>
      <c r="L291">
        <f>IF(K291=1,IF(EXACT(F291,"posted"),IF(E291&lt;=Control!$B$2,1,0),0),0)</f>
        <v>0</v>
      </c>
      <c r="M291">
        <f>IF(A291="",0,SUMPRODUCT(EXACT(Rates!$A$2:$A$4,G291)*Rates!$B$2:$B$4))</f>
        <v>0</v>
      </c>
      <c r="N291">
        <f>IF(L291=1,ROUND(ROUND(H291*M291*100,6),0),0)</f>
        <v>0</v>
      </c>
    </row>
    <row r="292">
      <c r="I292" t="str">
        <f>IF(A292="","",LEN(A292)&amp;"|"&amp;A292&amp;B292)</f>
        <v/>
      </c>
      <c r="J292">
        <f>IF(A292="",0,IF(D292&lt;=Control!$B$2,1,0))</f>
        <v>0</v>
      </c>
      <c r="K292">
        <f>IF(J292=1,IF(SUMPRODUCT($J$2:$J$501*EXACT($I$2:$I$501,I292)*($C$2:$C$501&gt;C292))=0,1,0),0)</f>
        <v>0</v>
      </c>
      <c r="L292">
        <f>IF(K292=1,IF(EXACT(F292,"posted"),IF(E292&lt;=Control!$B$2,1,0),0),0)</f>
        <v>0</v>
      </c>
      <c r="M292">
        <f>IF(A292="",0,SUMPRODUCT(EXACT(Rates!$A$2:$A$4,G292)*Rates!$B$2:$B$4))</f>
        <v>0</v>
      </c>
      <c r="N292">
        <f>IF(L292=1,ROUND(ROUND(H292*M292*100,6),0),0)</f>
        <v>0</v>
      </c>
    </row>
    <row r="293">
      <c r="I293" t="str">
        <f>IF(A293="","",LEN(A293)&amp;"|"&amp;A293&amp;B293)</f>
        <v/>
      </c>
      <c r="J293">
        <f>IF(A293="",0,IF(D293&lt;=Control!$B$2,1,0))</f>
        <v>0</v>
      </c>
      <c r="K293">
        <f>IF(J293=1,IF(SUMPRODUCT($J$2:$J$501*EXACT($I$2:$I$501,I293)*($C$2:$C$501&gt;C293))=0,1,0),0)</f>
        <v>0</v>
      </c>
      <c r="L293">
        <f>IF(K293=1,IF(EXACT(F293,"posted"),IF(E293&lt;=Control!$B$2,1,0),0),0)</f>
        <v>0</v>
      </c>
      <c r="M293">
        <f>IF(A293="",0,SUMPRODUCT(EXACT(Rates!$A$2:$A$4,G293)*Rates!$B$2:$B$4))</f>
        <v>0</v>
      </c>
      <c r="N293">
        <f>IF(L293=1,ROUND(ROUND(H293*M293*100,6),0),0)</f>
        <v>0</v>
      </c>
    </row>
    <row r="294">
      <c r="I294" t="str">
        <f>IF(A294="","",LEN(A294)&amp;"|"&amp;A294&amp;B294)</f>
        <v/>
      </c>
      <c r="J294">
        <f>IF(A294="",0,IF(D294&lt;=Control!$B$2,1,0))</f>
        <v>0</v>
      </c>
      <c r="K294">
        <f>IF(J294=1,IF(SUMPRODUCT($J$2:$J$501*EXACT($I$2:$I$501,I294)*($C$2:$C$501&gt;C294))=0,1,0),0)</f>
        <v>0</v>
      </c>
      <c r="L294">
        <f>IF(K294=1,IF(EXACT(F294,"posted"),IF(E294&lt;=Control!$B$2,1,0),0),0)</f>
        <v>0</v>
      </c>
      <c r="M294">
        <f>IF(A294="",0,SUMPRODUCT(EXACT(Rates!$A$2:$A$4,G294)*Rates!$B$2:$B$4))</f>
        <v>0</v>
      </c>
      <c r="N294">
        <f>IF(L294=1,ROUND(ROUND(H294*M294*100,6),0),0)</f>
        <v>0</v>
      </c>
    </row>
    <row r="295">
      <c r="I295" t="str">
        <f>IF(A295="","",LEN(A295)&amp;"|"&amp;A295&amp;B295)</f>
        <v/>
      </c>
      <c r="J295">
        <f>IF(A295="",0,IF(D295&lt;=Control!$B$2,1,0))</f>
        <v>0</v>
      </c>
      <c r="K295">
        <f>IF(J295=1,IF(SUMPRODUCT($J$2:$J$501*EXACT($I$2:$I$501,I295)*($C$2:$C$501&gt;C295))=0,1,0),0)</f>
        <v>0</v>
      </c>
      <c r="L295">
        <f>IF(K295=1,IF(EXACT(F295,"posted"),IF(E295&lt;=Control!$B$2,1,0),0),0)</f>
        <v>0</v>
      </c>
      <c r="M295">
        <f>IF(A295="",0,SUMPRODUCT(EXACT(Rates!$A$2:$A$4,G295)*Rates!$B$2:$B$4))</f>
        <v>0</v>
      </c>
      <c r="N295">
        <f>IF(L295=1,ROUND(ROUND(H295*M295*100,6),0),0)</f>
        <v>0</v>
      </c>
    </row>
    <row r="296">
      <c r="I296" t="str">
        <f>IF(A296="","",LEN(A296)&amp;"|"&amp;A296&amp;B296)</f>
        <v/>
      </c>
      <c r="J296">
        <f>IF(A296="",0,IF(D296&lt;=Control!$B$2,1,0))</f>
        <v>0</v>
      </c>
      <c r="K296">
        <f>IF(J296=1,IF(SUMPRODUCT($J$2:$J$501*EXACT($I$2:$I$501,I296)*($C$2:$C$501&gt;C296))=0,1,0),0)</f>
        <v>0</v>
      </c>
      <c r="L296">
        <f>IF(K296=1,IF(EXACT(F296,"posted"),IF(E296&lt;=Control!$B$2,1,0),0),0)</f>
        <v>0</v>
      </c>
      <c r="M296">
        <f>IF(A296="",0,SUMPRODUCT(EXACT(Rates!$A$2:$A$4,G296)*Rates!$B$2:$B$4))</f>
        <v>0</v>
      </c>
      <c r="N296">
        <f>IF(L296=1,ROUND(ROUND(H296*M296*100,6),0),0)</f>
        <v>0</v>
      </c>
    </row>
    <row r="297">
      <c r="I297" t="str">
        <f>IF(A297="","",LEN(A297)&amp;"|"&amp;A297&amp;B297)</f>
        <v/>
      </c>
      <c r="J297">
        <f>IF(A297="",0,IF(D297&lt;=Control!$B$2,1,0))</f>
        <v>0</v>
      </c>
      <c r="K297">
        <f>IF(J297=1,IF(SUMPRODUCT($J$2:$J$501*EXACT($I$2:$I$501,I297)*($C$2:$C$501&gt;C297))=0,1,0),0)</f>
        <v>0</v>
      </c>
      <c r="L297">
        <f>IF(K297=1,IF(EXACT(F297,"posted"),IF(E297&lt;=Control!$B$2,1,0),0),0)</f>
        <v>0</v>
      </c>
      <c r="M297">
        <f>IF(A297="",0,SUMPRODUCT(EXACT(Rates!$A$2:$A$4,G297)*Rates!$B$2:$B$4))</f>
        <v>0</v>
      </c>
      <c r="N297">
        <f>IF(L297=1,ROUND(ROUND(H297*M297*100,6),0),0)</f>
        <v>0</v>
      </c>
    </row>
    <row r="298">
      <c r="I298" t="str">
        <f>IF(A298="","",LEN(A298)&amp;"|"&amp;A298&amp;B298)</f>
        <v/>
      </c>
      <c r="J298">
        <f>IF(A298="",0,IF(D298&lt;=Control!$B$2,1,0))</f>
        <v>0</v>
      </c>
      <c r="K298">
        <f>IF(J298=1,IF(SUMPRODUCT($J$2:$J$501*EXACT($I$2:$I$501,I298)*($C$2:$C$501&gt;C298))=0,1,0),0)</f>
        <v>0</v>
      </c>
      <c r="L298">
        <f>IF(K298=1,IF(EXACT(F298,"posted"),IF(E298&lt;=Control!$B$2,1,0),0),0)</f>
        <v>0</v>
      </c>
      <c r="M298">
        <f>IF(A298="",0,SUMPRODUCT(EXACT(Rates!$A$2:$A$4,G298)*Rates!$B$2:$B$4))</f>
        <v>0</v>
      </c>
      <c r="N298">
        <f>IF(L298=1,ROUND(ROUND(H298*M298*100,6),0),0)</f>
        <v>0</v>
      </c>
    </row>
    <row r="299">
      <c r="I299" t="str">
        <f>IF(A299="","",LEN(A299)&amp;"|"&amp;A299&amp;B299)</f>
        <v/>
      </c>
      <c r="J299">
        <f>IF(A299="",0,IF(D299&lt;=Control!$B$2,1,0))</f>
        <v>0</v>
      </c>
      <c r="K299">
        <f>IF(J299=1,IF(SUMPRODUCT($J$2:$J$501*EXACT($I$2:$I$501,I299)*($C$2:$C$501&gt;C299))=0,1,0),0)</f>
        <v>0</v>
      </c>
      <c r="L299">
        <f>IF(K299=1,IF(EXACT(F299,"posted"),IF(E299&lt;=Control!$B$2,1,0),0),0)</f>
        <v>0</v>
      </c>
      <c r="M299">
        <f>IF(A299="",0,SUMPRODUCT(EXACT(Rates!$A$2:$A$4,G299)*Rates!$B$2:$B$4))</f>
        <v>0</v>
      </c>
      <c r="N299">
        <f>IF(L299=1,ROUND(ROUND(H299*M299*100,6),0),0)</f>
        <v>0</v>
      </c>
    </row>
    <row r="300">
      <c r="I300" t="str">
        <f>IF(A300="","",LEN(A300)&amp;"|"&amp;A300&amp;B300)</f>
        <v/>
      </c>
      <c r="J300">
        <f>IF(A300="",0,IF(D300&lt;=Control!$B$2,1,0))</f>
        <v>0</v>
      </c>
      <c r="K300">
        <f>IF(J300=1,IF(SUMPRODUCT($J$2:$J$501*EXACT($I$2:$I$501,I300)*($C$2:$C$501&gt;C300))=0,1,0),0)</f>
        <v>0</v>
      </c>
      <c r="L300">
        <f>IF(K300=1,IF(EXACT(F300,"posted"),IF(E300&lt;=Control!$B$2,1,0),0),0)</f>
        <v>0</v>
      </c>
      <c r="M300">
        <f>IF(A300="",0,SUMPRODUCT(EXACT(Rates!$A$2:$A$4,G300)*Rates!$B$2:$B$4))</f>
        <v>0</v>
      </c>
      <c r="N300">
        <f>IF(L300=1,ROUND(ROUND(H300*M300*100,6),0),0)</f>
        <v>0</v>
      </c>
    </row>
    <row r="301">
      <c r="I301" t="str">
        <f>IF(A301="","",LEN(A301)&amp;"|"&amp;A301&amp;B301)</f>
        <v/>
      </c>
      <c r="J301">
        <f>IF(A301="",0,IF(D301&lt;=Control!$B$2,1,0))</f>
        <v>0</v>
      </c>
      <c r="K301">
        <f>IF(J301=1,IF(SUMPRODUCT($J$2:$J$501*EXACT($I$2:$I$501,I301)*($C$2:$C$501&gt;C301))=0,1,0),0)</f>
        <v>0</v>
      </c>
      <c r="L301">
        <f>IF(K301=1,IF(EXACT(F301,"posted"),IF(E301&lt;=Control!$B$2,1,0),0),0)</f>
        <v>0</v>
      </c>
      <c r="M301">
        <f>IF(A301="",0,SUMPRODUCT(EXACT(Rates!$A$2:$A$4,G301)*Rates!$B$2:$B$4))</f>
        <v>0</v>
      </c>
      <c r="N301">
        <f>IF(L301=1,ROUND(ROUND(H301*M301*100,6),0),0)</f>
        <v>0</v>
      </c>
    </row>
    <row r="302">
      <c r="I302" t="str">
        <f>IF(A302="","",LEN(A302)&amp;"|"&amp;A302&amp;B302)</f>
        <v/>
      </c>
      <c r="J302">
        <f>IF(A302="",0,IF(D302&lt;=Control!$B$2,1,0))</f>
        <v>0</v>
      </c>
      <c r="K302">
        <f>IF(J302=1,IF(SUMPRODUCT($J$2:$J$501*EXACT($I$2:$I$501,I302)*($C$2:$C$501&gt;C302))=0,1,0),0)</f>
        <v>0</v>
      </c>
      <c r="L302">
        <f>IF(K302=1,IF(EXACT(F302,"posted"),IF(E302&lt;=Control!$B$2,1,0),0),0)</f>
        <v>0</v>
      </c>
      <c r="M302">
        <f>IF(A302="",0,SUMPRODUCT(EXACT(Rates!$A$2:$A$4,G302)*Rates!$B$2:$B$4))</f>
        <v>0</v>
      </c>
      <c r="N302">
        <f>IF(L302=1,ROUND(ROUND(H302*M302*100,6),0),0)</f>
        <v>0</v>
      </c>
    </row>
    <row r="303">
      <c r="I303" t="str">
        <f>IF(A303="","",LEN(A303)&amp;"|"&amp;A303&amp;B303)</f>
        <v/>
      </c>
      <c r="J303">
        <f>IF(A303="",0,IF(D303&lt;=Control!$B$2,1,0))</f>
        <v>0</v>
      </c>
      <c r="K303">
        <f>IF(J303=1,IF(SUMPRODUCT($J$2:$J$501*EXACT($I$2:$I$501,I303)*($C$2:$C$501&gt;C303))=0,1,0),0)</f>
        <v>0</v>
      </c>
      <c r="L303">
        <f>IF(K303=1,IF(EXACT(F303,"posted"),IF(E303&lt;=Control!$B$2,1,0),0),0)</f>
        <v>0</v>
      </c>
      <c r="M303">
        <f>IF(A303="",0,SUMPRODUCT(EXACT(Rates!$A$2:$A$4,G303)*Rates!$B$2:$B$4))</f>
        <v>0</v>
      </c>
      <c r="N303">
        <f>IF(L303=1,ROUND(ROUND(H303*M303*100,6),0),0)</f>
        <v>0</v>
      </c>
    </row>
    <row r="304">
      <c r="I304" t="str">
        <f>IF(A304="","",LEN(A304)&amp;"|"&amp;A304&amp;B304)</f>
        <v/>
      </c>
      <c r="J304">
        <f>IF(A304="",0,IF(D304&lt;=Control!$B$2,1,0))</f>
        <v>0</v>
      </c>
      <c r="K304">
        <f>IF(J304=1,IF(SUMPRODUCT($J$2:$J$501*EXACT($I$2:$I$501,I304)*($C$2:$C$501&gt;C304))=0,1,0),0)</f>
        <v>0</v>
      </c>
      <c r="L304">
        <f>IF(K304=1,IF(EXACT(F304,"posted"),IF(E304&lt;=Control!$B$2,1,0),0),0)</f>
        <v>0</v>
      </c>
      <c r="M304">
        <f>IF(A304="",0,SUMPRODUCT(EXACT(Rates!$A$2:$A$4,G304)*Rates!$B$2:$B$4))</f>
        <v>0</v>
      </c>
      <c r="N304">
        <f>IF(L304=1,ROUND(ROUND(H304*M304*100,6),0),0)</f>
        <v>0</v>
      </c>
    </row>
    <row r="305">
      <c r="I305" t="str">
        <f>IF(A305="","",LEN(A305)&amp;"|"&amp;A305&amp;B305)</f>
        <v/>
      </c>
      <c r="J305">
        <f>IF(A305="",0,IF(D305&lt;=Control!$B$2,1,0))</f>
        <v>0</v>
      </c>
      <c r="K305">
        <f>IF(J305=1,IF(SUMPRODUCT($J$2:$J$501*EXACT($I$2:$I$501,I305)*($C$2:$C$501&gt;C305))=0,1,0),0)</f>
        <v>0</v>
      </c>
      <c r="L305">
        <f>IF(K305=1,IF(EXACT(F305,"posted"),IF(E305&lt;=Control!$B$2,1,0),0),0)</f>
        <v>0</v>
      </c>
      <c r="M305">
        <f>IF(A305="",0,SUMPRODUCT(EXACT(Rates!$A$2:$A$4,G305)*Rates!$B$2:$B$4))</f>
        <v>0</v>
      </c>
      <c r="N305">
        <f>IF(L305=1,ROUND(ROUND(H305*M305*100,6),0),0)</f>
        <v>0</v>
      </c>
    </row>
    <row r="306">
      <c r="I306" t="str">
        <f>IF(A306="","",LEN(A306)&amp;"|"&amp;A306&amp;B306)</f>
        <v/>
      </c>
      <c r="J306">
        <f>IF(A306="",0,IF(D306&lt;=Control!$B$2,1,0))</f>
        <v>0</v>
      </c>
      <c r="K306">
        <f>IF(J306=1,IF(SUMPRODUCT($J$2:$J$501*EXACT($I$2:$I$501,I306)*($C$2:$C$501&gt;C306))=0,1,0),0)</f>
        <v>0</v>
      </c>
      <c r="L306">
        <f>IF(K306=1,IF(EXACT(F306,"posted"),IF(E306&lt;=Control!$B$2,1,0),0),0)</f>
        <v>0</v>
      </c>
      <c r="M306">
        <f>IF(A306="",0,SUMPRODUCT(EXACT(Rates!$A$2:$A$4,G306)*Rates!$B$2:$B$4))</f>
        <v>0</v>
      </c>
      <c r="N306">
        <f>IF(L306=1,ROUND(ROUND(H306*M306*100,6),0),0)</f>
        <v>0</v>
      </c>
    </row>
    <row r="307">
      <c r="I307" t="str">
        <f>IF(A307="","",LEN(A307)&amp;"|"&amp;A307&amp;B307)</f>
        <v/>
      </c>
      <c r="J307">
        <f>IF(A307="",0,IF(D307&lt;=Control!$B$2,1,0))</f>
        <v>0</v>
      </c>
      <c r="K307">
        <f>IF(J307=1,IF(SUMPRODUCT($J$2:$J$501*EXACT($I$2:$I$501,I307)*($C$2:$C$501&gt;C307))=0,1,0),0)</f>
        <v>0</v>
      </c>
      <c r="L307">
        <f>IF(K307=1,IF(EXACT(F307,"posted"),IF(E307&lt;=Control!$B$2,1,0),0),0)</f>
        <v>0</v>
      </c>
      <c r="M307">
        <f>IF(A307="",0,SUMPRODUCT(EXACT(Rates!$A$2:$A$4,G307)*Rates!$B$2:$B$4))</f>
        <v>0</v>
      </c>
      <c r="N307">
        <f>IF(L307=1,ROUND(ROUND(H307*M307*100,6),0),0)</f>
        <v>0</v>
      </c>
    </row>
    <row r="308">
      <c r="I308" t="str">
        <f>IF(A308="","",LEN(A308)&amp;"|"&amp;A308&amp;B308)</f>
        <v/>
      </c>
      <c r="J308">
        <f>IF(A308="",0,IF(D308&lt;=Control!$B$2,1,0))</f>
        <v>0</v>
      </c>
      <c r="K308">
        <f>IF(J308=1,IF(SUMPRODUCT($J$2:$J$501*EXACT($I$2:$I$501,I308)*($C$2:$C$501&gt;C308))=0,1,0),0)</f>
        <v>0</v>
      </c>
      <c r="L308">
        <f>IF(K308=1,IF(EXACT(F308,"posted"),IF(E308&lt;=Control!$B$2,1,0),0),0)</f>
        <v>0</v>
      </c>
      <c r="M308">
        <f>IF(A308="",0,SUMPRODUCT(EXACT(Rates!$A$2:$A$4,G308)*Rates!$B$2:$B$4))</f>
        <v>0</v>
      </c>
      <c r="N308">
        <f>IF(L308=1,ROUND(ROUND(H308*M308*100,6),0),0)</f>
        <v>0</v>
      </c>
    </row>
    <row r="309">
      <c r="I309" t="str">
        <f>IF(A309="","",LEN(A309)&amp;"|"&amp;A309&amp;B309)</f>
        <v/>
      </c>
      <c r="J309">
        <f>IF(A309="",0,IF(D309&lt;=Control!$B$2,1,0))</f>
        <v>0</v>
      </c>
      <c r="K309">
        <f>IF(J309=1,IF(SUMPRODUCT($J$2:$J$501*EXACT($I$2:$I$501,I309)*($C$2:$C$501&gt;C309))=0,1,0),0)</f>
        <v>0</v>
      </c>
      <c r="L309">
        <f>IF(K309=1,IF(EXACT(F309,"posted"),IF(E309&lt;=Control!$B$2,1,0),0),0)</f>
        <v>0</v>
      </c>
      <c r="M309">
        <f>IF(A309="",0,SUMPRODUCT(EXACT(Rates!$A$2:$A$4,G309)*Rates!$B$2:$B$4))</f>
        <v>0</v>
      </c>
      <c r="N309">
        <f>IF(L309=1,ROUND(ROUND(H309*M309*100,6),0),0)</f>
        <v>0</v>
      </c>
    </row>
    <row r="310">
      <c r="I310" t="str">
        <f>IF(A310="","",LEN(A310)&amp;"|"&amp;A310&amp;B310)</f>
        <v/>
      </c>
      <c r="J310">
        <f>IF(A310="",0,IF(D310&lt;=Control!$B$2,1,0))</f>
        <v>0</v>
      </c>
      <c r="K310">
        <f>IF(J310=1,IF(SUMPRODUCT($J$2:$J$501*EXACT($I$2:$I$501,I310)*($C$2:$C$501&gt;C310))=0,1,0),0)</f>
        <v>0</v>
      </c>
      <c r="L310">
        <f>IF(K310=1,IF(EXACT(F310,"posted"),IF(E310&lt;=Control!$B$2,1,0),0),0)</f>
        <v>0</v>
      </c>
      <c r="M310">
        <f>IF(A310="",0,SUMPRODUCT(EXACT(Rates!$A$2:$A$4,G310)*Rates!$B$2:$B$4))</f>
        <v>0</v>
      </c>
      <c r="N310">
        <f>IF(L310=1,ROUND(ROUND(H310*M310*100,6),0),0)</f>
        <v>0</v>
      </c>
    </row>
    <row r="311">
      <c r="I311" t="str">
        <f>IF(A311="","",LEN(A311)&amp;"|"&amp;A311&amp;B311)</f>
        <v/>
      </c>
      <c r="J311">
        <f>IF(A311="",0,IF(D311&lt;=Control!$B$2,1,0))</f>
        <v>0</v>
      </c>
      <c r="K311">
        <f>IF(J311=1,IF(SUMPRODUCT($J$2:$J$501*EXACT($I$2:$I$501,I311)*($C$2:$C$501&gt;C311))=0,1,0),0)</f>
        <v>0</v>
      </c>
      <c r="L311">
        <f>IF(K311=1,IF(EXACT(F311,"posted"),IF(E311&lt;=Control!$B$2,1,0),0),0)</f>
        <v>0</v>
      </c>
      <c r="M311">
        <f>IF(A311="",0,SUMPRODUCT(EXACT(Rates!$A$2:$A$4,G311)*Rates!$B$2:$B$4))</f>
        <v>0</v>
      </c>
      <c r="N311">
        <f>IF(L311=1,ROUND(ROUND(H311*M311*100,6),0),0)</f>
        <v>0</v>
      </c>
    </row>
    <row r="312">
      <c r="I312" t="str">
        <f>IF(A312="","",LEN(A312)&amp;"|"&amp;A312&amp;B312)</f>
        <v/>
      </c>
      <c r="J312">
        <f>IF(A312="",0,IF(D312&lt;=Control!$B$2,1,0))</f>
        <v>0</v>
      </c>
      <c r="K312">
        <f>IF(J312=1,IF(SUMPRODUCT($J$2:$J$501*EXACT($I$2:$I$501,I312)*($C$2:$C$501&gt;C312))=0,1,0),0)</f>
        <v>0</v>
      </c>
      <c r="L312">
        <f>IF(K312=1,IF(EXACT(F312,"posted"),IF(E312&lt;=Control!$B$2,1,0),0),0)</f>
        <v>0</v>
      </c>
      <c r="M312">
        <f>IF(A312="",0,SUMPRODUCT(EXACT(Rates!$A$2:$A$4,G312)*Rates!$B$2:$B$4))</f>
        <v>0</v>
      </c>
      <c r="N312">
        <f>IF(L312=1,ROUND(ROUND(H312*M312*100,6),0),0)</f>
        <v>0</v>
      </c>
    </row>
    <row r="313">
      <c r="I313" t="str">
        <f>IF(A313="","",LEN(A313)&amp;"|"&amp;A313&amp;B313)</f>
        <v/>
      </c>
      <c r="J313">
        <f>IF(A313="",0,IF(D313&lt;=Control!$B$2,1,0))</f>
        <v>0</v>
      </c>
      <c r="K313">
        <f>IF(J313=1,IF(SUMPRODUCT($J$2:$J$501*EXACT($I$2:$I$501,I313)*($C$2:$C$501&gt;C313))=0,1,0),0)</f>
        <v>0</v>
      </c>
      <c r="L313">
        <f>IF(K313=1,IF(EXACT(F313,"posted"),IF(E313&lt;=Control!$B$2,1,0),0),0)</f>
        <v>0</v>
      </c>
      <c r="M313">
        <f>IF(A313="",0,SUMPRODUCT(EXACT(Rates!$A$2:$A$4,G313)*Rates!$B$2:$B$4))</f>
        <v>0</v>
      </c>
      <c r="N313">
        <f>IF(L313=1,ROUND(ROUND(H313*M313*100,6),0),0)</f>
        <v>0</v>
      </c>
    </row>
    <row r="314">
      <c r="I314" t="str">
        <f>IF(A314="","",LEN(A314)&amp;"|"&amp;A314&amp;B314)</f>
        <v/>
      </c>
      <c r="J314">
        <f>IF(A314="",0,IF(D314&lt;=Control!$B$2,1,0))</f>
        <v>0</v>
      </c>
      <c r="K314">
        <f>IF(J314=1,IF(SUMPRODUCT($J$2:$J$501*EXACT($I$2:$I$501,I314)*($C$2:$C$501&gt;C314))=0,1,0),0)</f>
        <v>0</v>
      </c>
      <c r="L314">
        <f>IF(K314=1,IF(EXACT(F314,"posted"),IF(E314&lt;=Control!$B$2,1,0),0),0)</f>
        <v>0</v>
      </c>
      <c r="M314">
        <f>IF(A314="",0,SUMPRODUCT(EXACT(Rates!$A$2:$A$4,G314)*Rates!$B$2:$B$4))</f>
        <v>0</v>
      </c>
      <c r="N314">
        <f>IF(L314=1,ROUND(ROUND(H314*M314*100,6),0),0)</f>
        <v>0</v>
      </c>
    </row>
    <row r="315">
      <c r="I315" t="str">
        <f>IF(A315="","",LEN(A315)&amp;"|"&amp;A315&amp;B315)</f>
        <v/>
      </c>
      <c r="J315">
        <f>IF(A315="",0,IF(D315&lt;=Control!$B$2,1,0))</f>
        <v>0</v>
      </c>
      <c r="K315">
        <f>IF(J315=1,IF(SUMPRODUCT($J$2:$J$501*EXACT($I$2:$I$501,I315)*($C$2:$C$501&gt;C315))=0,1,0),0)</f>
        <v>0</v>
      </c>
      <c r="L315">
        <f>IF(K315=1,IF(EXACT(F315,"posted"),IF(E315&lt;=Control!$B$2,1,0),0),0)</f>
        <v>0</v>
      </c>
      <c r="M315">
        <f>IF(A315="",0,SUMPRODUCT(EXACT(Rates!$A$2:$A$4,G315)*Rates!$B$2:$B$4))</f>
        <v>0</v>
      </c>
      <c r="N315">
        <f>IF(L315=1,ROUND(ROUND(H315*M315*100,6),0),0)</f>
        <v>0</v>
      </c>
    </row>
    <row r="316">
      <c r="I316" t="str">
        <f>IF(A316="","",LEN(A316)&amp;"|"&amp;A316&amp;B316)</f>
        <v/>
      </c>
      <c r="J316">
        <f>IF(A316="",0,IF(D316&lt;=Control!$B$2,1,0))</f>
        <v>0</v>
      </c>
      <c r="K316">
        <f>IF(J316=1,IF(SUMPRODUCT($J$2:$J$501*EXACT($I$2:$I$501,I316)*($C$2:$C$501&gt;C316))=0,1,0),0)</f>
        <v>0</v>
      </c>
      <c r="L316">
        <f>IF(K316=1,IF(EXACT(F316,"posted"),IF(E316&lt;=Control!$B$2,1,0),0),0)</f>
        <v>0</v>
      </c>
      <c r="M316">
        <f>IF(A316="",0,SUMPRODUCT(EXACT(Rates!$A$2:$A$4,G316)*Rates!$B$2:$B$4))</f>
        <v>0</v>
      </c>
      <c r="N316">
        <f>IF(L316=1,ROUND(ROUND(H316*M316*100,6),0),0)</f>
        <v>0</v>
      </c>
    </row>
    <row r="317">
      <c r="I317" t="str">
        <f>IF(A317="","",LEN(A317)&amp;"|"&amp;A317&amp;B317)</f>
        <v/>
      </c>
      <c r="J317">
        <f>IF(A317="",0,IF(D317&lt;=Control!$B$2,1,0))</f>
        <v>0</v>
      </c>
      <c r="K317">
        <f>IF(J317=1,IF(SUMPRODUCT($J$2:$J$501*EXACT($I$2:$I$501,I317)*($C$2:$C$501&gt;C317))=0,1,0),0)</f>
        <v>0</v>
      </c>
      <c r="L317">
        <f>IF(K317=1,IF(EXACT(F317,"posted"),IF(E317&lt;=Control!$B$2,1,0),0),0)</f>
        <v>0</v>
      </c>
      <c r="M317">
        <f>IF(A317="",0,SUMPRODUCT(EXACT(Rates!$A$2:$A$4,G317)*Rates!$B$2:$B$4))</f>
        <v>0</v>
      </c>
      <c r="N317">
        <f>IF(L317=1,ROUND(ROUND(H317*M317*100,6),0),0)</f>
        <v>0</v>
      </c>
    </row>
    <row r="318">
      <c r="I318" t="str">
        <f>IF(A318="","",LEN(A318)&amp;"|"&amp;A318&amp;B318)</f>
        <v/>
      </c>
      <c r="J318">
        <f>IF(A318="",0,IF(D318&lt;=Control!$B$2,1,0))</f>
        <v>0</v>
      </c>
      <c r="K318">
        <f>IF(J318=1,IF(SUMPRODUCT($J$2:$J$501*EXACT($I$2:$I$501,I318)*($C$2:$C$501&gt;C318))=0,1,0),0)</f>
        <v>0</v>
      </c>
      <c r="L318">
        <f>IF(K318=1,IF(EXACT(F318,"posted"),IF(E318&lt;=Control!$B$2,1,0),0),0)</f>
        <v>0</v>
      </c>
      <c r="M318">
        <f>IF(A318="",0,SUMPRODUCT(EXACT(Rates!$A$2:$A$4,G318)*Rates!$B$2:$B$4))</f>
        <v>0</v>
      </c>
      <c r="N318">
        <f>IF(L318=1,ROUND(ROUND(H318*M318*100,6),0),0)</f>
        <v>0</v>
      </c>
    </row>
    <row r="319">
      <c r="I319" t="str">
        <f>IF(A319="","",LEN(A319)&amp;"|"&amp;A319&amp;B319)</f>
        <v/>
      </c>
      <c r="J319">
        <f>IF(A319="",0,IF(D319&lt;=Control!$B$2,1,0))</f>
        <v>0</v>
      </c>
      <c r="K319">
        <f>IF(J319=1,IF(SUMPRODUCT($J$2:$J$501*EXACT($I$2:$I$501,I319)*($C$2:$C$501&gt;C319))=0,1,0),0)</f>
        <v>0</v>
      </c>
      <c r="L319">
        <f>IF(K319=1,IF(EXACT(F319,"posted"),IF(E319&lt;=Control!$B$2,1,0),0),0)</f>
        <v>0</v>
      </c>
      <c r="M319">
        <f>IF(A319="",0,SUMPRODUCT(EXACT(Rates!$A$2:$A$4,G319)*Rates!$B$2:$B$4))</f>
        <v>0</v>
      </c>
      <c r="N319">
        <f>IF(L319=1,ROUND(ROUND(H319*M319*100,6),0),0)</f>
        <v>0</v>
      </c>
    </row>
    <row r="320">
      <c r="I320" t="str">
        <f>IF(A320="","",LEN(A320)&amp;"|"&amp;A320&amp;B320)</f>
        <v/>
      </c>
      <c r="J320">
        <f>IF(A320="",0,IF(D320&lt;=Control!$B$2,1,0))</f>
        <v>0</v>
      </c>
      <c r="K320">
        <f>IF(J320=1,IF(SUMPRODUCT($J$2:$J$501*EXACT($I$2:$I$501,I320)*($C$2:$C$501&gt;C320))=0,1,0),0)</f>
        <v>0</v>
      </c>
      <c r="L320">
        <f>IF(K320=1,IF(EXACT(F320,"posted"),IF(E320&lt;=Control!$B$2,1,0),0),0)</f>
        <v>0</v>
      </c>
      <c r="M320">
        <f>IF(A320="",0,SUMPRODUCT(EXACT(Rates!$A$2:$A$4,G320)*Rates!$B$2:$B$4))</f>
        <v>0</v>
      </c>
      <c r="N320">
        <f>IF(L320=1,ROUND(ROUND(H320*M320*100,6),0),0)</f>
        <v>0</v>
      </c>
    </row>
    <row r="321">
      <c r="I321" t="str">
        <f>IF(A321="","",LEN(A321)&amp;"|"&amp;A321&amp;B321)</f>
        <v/>
      </c>
      <c r="J321">
        <f>IF(A321="",0,IF(D321&lt;=Control!$B$2,1,0))</f>
        <v>0</v>
      </c>
      <c r="K321">
        <f>IF(J321=1,IF(SUMPRODUCT($J$2:$J$501*EXACT($I$2:$I$501,I321)*($C$2:$C$501&gt;C321))=0,1,0),0)</f>
        <v>0</v>
      </c>
      <c r="L321">
        <f>IF(K321=1,IF(EXACT(F321,"posted"),IF(E321&lt;=Control!$B$2,1,0),0),0)</f>
        <v>0</v>
      </c>
      <c r="M321">
        <f>IF(A321="",0,SUMPRODUCT(EXACT(Rates!$A$2:$A$4,G321)*Rates!$B$2:$B$4))</f>
        <v>0</v>
      </c>
      <c r="N321">
        <f>IF(L321=1,ROUND(ROUND(H321*M321*100,6),0),0)</f>
        <v>0</v>
      </c>
    </row>
    <row r="322">
      <c r="I322" t="str">
        <f>IF(A322="","",LEN(A322)&amp;"|"&amp;A322&amp;B322)</f>
        <v/>
      </c>
      <c r="J322">
        <f>IF(A322="",0,IF(D322&lt;=Control!$B$2,1,0))</f>
        <v>0</v>
      </c>
      <c r="K322">
        <f>IF(J322=1,IF(SUMPRODUCT($J$2:$J$501*EXACT($I$2:$I$501,I322)*($C$2:$C$501&gt;C322))=0,1,0),0)</f>
        <v>0</v>
      </c>
      <c r="L322">
        <f>IF(K322=1,IF(EXACT(F322,"posted"),IF(E322&lt;=Control!$B$2,1,0),0),0)</f>
        <v>0</v>
      </c>
      <c r="M322">
        <f>IF(A322="",0,SUMPRODUCT(EXACT(Rates!$A$2:$A$4,G322)*Rates!$B$2:$B$4))</f>
        <v>0</v>
      </c>
      <c r="N322">
        <f>IF(L322=1,ROUND(ROUND(H322*M322*100,6),0),0)</f>
        <v>0</v>
      </c>
    </row>
    <row r="323">
      <c r="I323" t="str">
        <f>IF(A323="","",LEN(A323)&amp;"|"&amp;A323&amp;B323)</f>
        <v/>
      </c>
      <c r="J323">
        <f>IF(A323="",0,IF(D323&lt;=Control!$B$2,1,0))</f>
        <v>0</v>
      </c>
      <c r="K323">
        <f>IF(J323=1,IF(SUMPRODUCT($J$2:$J$501*EXACT($I$2:$I$501,I323)*($C$2:$C$501&gt;C323))=0,1,0),0)</f>
        <v>0</v>
      </c>
      <c r="L323">
        <f>IF(K323=1,IF(EXACT(F323,"posted"),IF(E323&lt;=Control!$B$2,1,0),0),0)</f>
        <v>0</v>
      </c>
      <c r="M323">
        <f>IF(A323="",0,SUMPRODUCT(EXACT(Rates!$A$2:$A$4,G323)*Rates!$B$2:$B$4))</f>
        <v>0</v>
      </c>
      <c r="N323">
        <f>IF(L323=1,ROUND(ROUND(H323*M323*100,6),0),0)</f>
        <v>0</v>
      </c>
    </row>
    <row r="324">
      <c r="I324" t="str">
        <f>IF(A324="","",LEN(A324)&amp;"|"&amp;A324&amp;B324)</f>
        <v/>
      </c>
      <c r="J324">
        <f>IF(A324="",0,IF(D324&lt;=Control!$B$2,1,0))</f>
        <v>0</v>
      </c>
      <c r="K324">
        <f>IF(J324=1,IF(SUMPRODUCT($J$2:$J$501*EXACT($I$2:$I$501,I324)*($C$2:$C$501&gt;C324))=0,1,0),0)</f>
        <v>0</v>
      </c>
      <c r="L324">
        <f>IF(K324=1,IF(EXACT(F324,"posted"),IF(E324&lt;=Control!$B$2,1,0),0),0)</f>
        <v>0</v>
      </c>
      <c r="M324">
        <f>IF(A324="",0,SUMPRODUCT(EXACT(Rates!$A$2:$A$4,G324)*Rates!$B$2:$B$4))</f>
        <v>0</v>
      </c>
      <c r="N324">
        <f>IF(L324=1,ROUND(ROUND(H324*M324*100,6),0),0)</f>
        <v>0</v>
      </c>
    </row>
    <row r="325">
      <c r="I325" t="str">
        <f>IF(A325="","",LEN(A325)&amp;"|"&amp;A325&amp;B325)</f>
        <v/>
      </c>
      <c r="J325">
        <f>IF(A325="",0,IF(D325&lt;=Control!$B$2,1,0))</f>
        <v>0</v>
      </c>
      <c r="K325">
        <f>IF(J325=1,IF(SUMPRODUCT($J$2:$J$501*EXACT($I$2:$I$501,I325)*($C$2:$C$501&gt;C325))=0,1,0),0)</f>
        <v>0</v>
      </c>
      <c r="L325">
        <f>IF(K325=1,IF(EXACT(F325,"posted"),IF(E325&lt;=Control!$B$2,1,0),0),0)</f>
        <v>0</v>
      </c>
      <c r="M325">
        <f>IF(A325="",0,SUMPRODUCT(EXACT(Rates!$A$2:$A$4,G325)*Rates!$B$2:$B$4))</f>
        <v>0</v>
      </c>
      <c r="N325">
        <f>IF(L325=1,ROUND(ROUND(H325*M325*100,6),0),0)</f>
        <v>0</v>
      </c>
    </row>
    <row r="326">
      <c r="I326" t="str">
        <f>IF(A326="","",LEN(A326)&amp;"|"&amp;A326&amp;B326)</f>
        <v/>
      </c>
      <c r="J326">
        <f>IF(A326="",0,IF(D326&lt;=Control!$B$2,1,0))</f>
        <v>0</v>
      </c>
      <c r="K326">
        <f>IF(J326=1,IF(SUMPRODUCT($J$2:$J$501*EXACT($I$2:$I$501,I326)*($C$2:$C$501&gt;C326))=0,1,0),0)</f>
        <v>0</v>
      </c>
      <c r="L326">
        <f>IF(K326=1,IF(EXACT(F326,"posted"),IF(E326&lt;=Control!$B$2,1,0),0),0)</f>
        <v>0</v>
      </c>
      <c r="M326">
        <f>IF(A326="",0,SUMPRODUCT(EXACT(Rates!$A$2:$A$4,G326)*Rates!$B$2:$B$4))</f>
        <v>0</v>
      </c>
      <c r="N326">
        <f>IF(L326=1,ROUND(ROUND(H326*M326*100,6),0),0)</f>
        <v>0</v>
      </c>
    </row>
    <row r="327">
      <c r="I327" t="str">
        <f>IF(A327="","",LEN(A327)&amp;"|"&amp;A327&amp;B327)</f>
        <v/>
      </c>
      <c r="J327">
        <f>IF(A327="",0,IF(D327&lt;=Control!$B$2,1,0))</f>
        <v>0</v>
      </c>
      <c r="K327">
        <f>IF(J327=1,IF(SUMPRODUCT($J$2:$J$501*EXACT($I$2:$I$501,I327)*($C$2:$C$501&gt;C327))=0,1,0),0)</f>
        <v>0</v>
      </c>
      <c r="L327">
        <f>IF(K327=1,IF(EXACT(F327,"posted"),IF(E327&lt;=Control!$B$2,1,0),0),0)</f>
        <v>0</v>
      </c>
      <c r="M327">
        <f>IF(A327="",0,SUMPRODUCT(EXACT(Rates!$A$2:$A$4,G327)*Rates!$B$2:$B$4))</f>
        <v>0</v>
      </c>
      <c r="N327">
        <f>IF(L327=1,ROUND(ROUND(H327*M327*100,6),0),0)</f>
        <v>0</v>
      </c>
    </row>
    <row r="328">
      <c r="I328" t="str">
        <f>IF(A328="","",LEN(A328)&amp;"|"&amp;A328&amp;B328)</f>
        <v/>
      </c>
      <c r="J328">
        <f>IF(A328="",0,IF(D328&lt;=Control!$B$2,1,0))</f>
        <v>0</v>
      </c>
      <c r="K328">
        <f>IF(J328=1,IF(SUMPRODUCT($J$2:$J$501*EXACT($I$2:$I$501,I328)*($C$2:$C$501&gt;C328))=0,1,0),0)</f>
        <v>0</v>
      </c>
      <c r="L328">
        <f>IF(K328=1,IF(EXACT(F328,"posted"),IF(E328&lt;=Control!$B$2,1,0),0),0)</f>
        <v>0</v>
      </c>
      <c r="M328">
        <f>IF(A328="",0,SUMPRODUCT(EXACT(Rates!$A$2:$A$4,G328)*Rates!$B$2:$B$4))</f>
        <v>0</v>
      </c>
      <c r="N328">
        <f>IF(L328=1,ROUND(ROUND(H328*M328*100,6),0),0)</f>
        <v>0</v>
      </c>
    </row>
    <row r="329">
      <c r="I329" t="str">
        <f>IF(A329="","",LEN(A329)&amp;"|"&amp;A329&amp;B329)</f>
        <v/>
      </c>
      <c r="J329">
        <f>IF(A329="",0,IF(D329&lt;=Control!$B$2,1,0))</f>
        <v>0</v>
      </c>
      <c r="K329">
        <f>IF(J329=1,IF(SUMPRODUCT($J$2:$J$501*EXACT($I$2:$I$501,I329)*($C$2:$C$501&gt;C329))=0,1,0),0)</f>
        <v>0</v>
      </c>
      <c r="L329">
        <f>IF(K329=1,IF(EXACT(F329,"posted"),IF(E329&lt;=Control!$B$2,1,0),0),0)</f>
        <v>0</v>
      </c>
      <c r="M329">
        <f>IF(A329="",0,SUMPRODUCT(EXACT(Rates!$A$2:$A$4,G329)*Rates!$B$2:$B$4))</f>
        <v>0</v>
      </c>
      <c r="N329">
        <f>IF(L329=1,ROUND(ROUND(H329*M329*100,6),0),0)</f>
        <v>0</v>
      </c>
    </row>
    <row r="330">
      <c r="I330" t="str">
        <f>IF(A330="","",LEN(A330)&amp;"|"&amp;A330&amp;B330)</f>
        <v/>
      </c>
      <c r="J330">
        <f>IF(A330="",0,IF(D330&lt;=Control!$B$2,1,0))</f>
        <v>0</v>
      </c>
      <c r="K330">
        <f>IF(J330=1,IF(SUMPRODUCT($J$2:$J$501*EXACT($I$2:$I$501,I330)*($C$2:$C$501&gt;C330))=0,1,0),0)</f>
        <v>0</v>
      </c>
      <c r="L330">
        <f>IF(K330=1,IF(EXACT(F330,"posted"),IF(E330&lt;=Control!$B$2,1,0),0),0)</f>
        <v>0</v>
      </c>
      <c r="M330">
        <f>IF(A330="",0,SUMPRODUCT(EXACT(Rates!$A$2:$A$4,G330)*Rates!$B$2:$B$4))</f>
        <v>0</v>
      </c>
      <c r="N330">
        <f>IF(L330=1,ROUND(ROUND(H330*M330*100,6),0),0)</f>
        <v>0</v>
      </c>
    </row>
    <row r="331">
      <c r="I331" t="str">
        <f>IF(A331="","",LEN(A331)&amp;"|"&amp;A331&amp;B331)</f>
        <v/>
      </c>
      <c r="J331">
        <f>IF(A331="",0,IF(D331&lt;=Control!$B$2,1,0))</f>
        <v>0</v>
      </c>
      <c r="K331">
        <f>IF(J331=1,IF(SUMPRODUCT($J$2:$J$501*EXACT($I$2:$I$501,I331)*($C$2:$C$501&gt;C331))=0,1,0),0)</f>
        <v>0</v>
      </c>
      <c r="L331">
        <f>IF(K331=1,IF(EXACT(F331,"posted"),IF(E331&lt;=Control!$B$2,1,0),0),0)</f>
        <v>0</v>
      </c>
      <c r="M331">
        <f>IF(A331="",0,SUMPRODUCT(EXACT(Rates!$A$2:$A$4,G331)*Rates!$B$2:$B$4))</f>
        <v>0</v>
      </c>
      <c r="N331">
        <f>IF(L331=1,ROUND(ROUND(H331*M331*100,6),0),0)</f>
        <v>0</v>
      </c>
    </row>
    <row r="332">
      <c r="I332" t="str">
        <f>IF(A332="","",LEN(A332)&amp;"|"&amp;A332&amp;B332)</f>
        <v/>
      </c>
      <c r="J332">
        <f>IF(A332="",0,IF(D332&lt;=Control!$B$2,1,0))</f>
        <v>0</v>
      </c>
      <c r="K332">
        <f>IF(J332=1,IF(SUMPRODUCT($J$2:$J$501*EXACT($I$2:$I$501,I332)*($C$2:$C$501&gt;C332))=0,1,0),0)</f>
        <v>0</v>
      </c>
      <c r="L332">
        <f>IF(K332=1,IF(EXACT(F332,"posted"),IF(E332&lt;=Control!$B$2,1,0),0),0)</f>
        <v>0</v>
      </c>
      <c r="M332">
        <f>IF(A332="",0,SUMPRODUCT(EXACT(Rates!$A$2:$A$4,G332)*Rates!$B$2:$B$4))</f>
        <v>0</v>
      </c>
      <c r="N332">
        <f>IF(L332=1,ROUND(ROUND(H332*M332*100,6),0),0)</f>
        <v>0</v>
      </c>
    </row>
    <row r="333">
      <c r="I333" t="str">
        <f>IF(A333="","",LEN(A333)&amp;"|"&amp;A333&amp;B333)</f>
        <v/>
      </c>
      <c r="J333">
        <f>IF(A333="",0,IF(D333&lt;=Control!$B$2,1,0))</f>
        <v>0</v>
      </c>
      <c r="K333">
        <f>IF(J333=1,IF(SUMPRODUCT($J$2:$J$501*EXACT($I$2:$I$501,I333)*($C$2:$C$501&gt;C333))=0,1,0),0)</f>
        <v>0</v>
      </c>
      <c r="L333">
        <f>IF(K333=1,IF(EXACT(F333,"posted"),IF(E333&lt;=Control!$B$2,1,0),0),0)</f>
        <v>0</v>
      </c>
      <c r="M333">
        <f>IF(A333="",0,SUMPRODUCT(EXACT(Rates!$A$2:$A$4,G333)*Rates!$B$2:$B$4))</f>
        <v>0</v>
      </c>
      <c r="N333">
        <f>IF(L333=1,ROUND(ROUND(H333*M333*100,6),0),0)</f>
        <v>0</v>
      </c>
    </row>
    <row r="334">
      <c r="I334" t="str">
        <f>IF(A334="","",LEN(A334)&amp;"|"&amp;A334&amp;B334)</f>
        <v/>
      </c>
      <c r="J334">
        <f>IF(A334="",0,IF(D334&lt;=Control!$B$2,1,0))</f>
        <v>0</v>
      </c>
      <c r="K334">
        <f>IF(J334=1,IF(SUMPRODUCT($J$2:$J$501*EXACT($I$2:$I$501,I334)*($C$2:$C$501&gt;C334))=0,1,0),0)</f>
        <v>0</v>
      </c>
      <c r="L334">
        <f>IF(K334=1,IF(EXACT(F334,"posted"),IF(E334&lt;=Control!$B$2,1,0),0),0)</f>
        <v>0</v>
      </c>
      <c r="M334">
        <f>IF(A334="",0,SUMPRODUCT(EXACT(Rates!$A$2:$A$4,G334)*Rates!$B$2:$B$4))</f>
        <v>0</v>
      </c>
      <c r="N334">
        <f>IF(L334=1,ROUND(ROUND(H334*M334*100,6),0),0)</f>
        <v>0</v>
      </c>
    </row>
    <row r="335">
      <c r="I335" t="str">
        <f>IF(A335="","",LEN(A335)&amp;"|"&amp;A335&amp;B335)</f>
        <v/>
      </c>
      <c r="J335">
        <f>IF(A335="",0,IF(D335&lt;=Control!$B$2,1,0))</f>
        <v>0</v>
      </c>
      <c r="K335">
        <f>IF(J335=1,IF(SUMPRODUCT($J$2:$J$501*EXACT($I$2:$I$501,I335)*($C$2:$C$501&gt;C335))=0,1,0),0)</f>
        <v>0</v>
      </c>
      <c r="L335">
        <f>IF(K335=1,IF(EXACT(F335,"posted"),IF(E335&lt;=Control!$B$2,1,0),0),0)</f>
        <v>0</v>
      </c>
      <c r="M335">
        <f>IF(A335="",0,SUMPRODUCT(EXACT(Rates!$A$2:$A$4,G335)*Rates!$B$2:$B$4))</f>
        <v>0</v>
      </c>
      <c r="N335">
        <f>IF(L335=1,ROUND(ROUND(H335*M335*100,6),0),0)</f>
        <v>0</v>
      </c>
    </row>
    <row r="336">
      <c r="I336" t="str">
        <f>IF(A336="","",LEN(A336)&amp;"|"&amp;A336&amp;B336)</f>
        <v/>
      </c>
      <c r="J336">
        <f>IF(A336="",0,IF(D336&lt;=Control!$B$2,1,0))</f>
        <v>0</v>
      </c>
      <c r="K336">
        <f>IF(J336=1,IF(SUMPRODUCT($J$2:$J$501*EXACT($I$2:$I$501,I336)*($C$2:$C$501&gt;C336))=0,1,0),0)</f>
        <v>0</v>
      </c>
      <c r="L336">
        <f>IF(K336=1,IF(EXACT(F336,"posted"),IF(E336&lt;=Control!$B$2,1,0),0),0)</f>
        <v>0</v>
      </c>
      <c r="M336">
        <f>IF(A336="",0,SUMPRODUCT(EXACT(Rates!$A$2:$A$4,G336)*Rates!$B$2:$B$4))</f>
        <v>0</v>
      </c>
      <c r="N336">
        <f>IF(L336=1,ROUND(ROUND(H336*M336*100,6),0),0)</f>
        <v>0</v>
      </c>
    </row>
    <row r="337">
      <c r="I337" t="str">
        <f>IF(A337="","",LEN(A337)&amp;"|"&amp;A337&amp;B337)</f>
        <v/>
      </c>
      <c r="J337">
        <f>IF(A337="",0,IF(D337&lt;=Control!$B$2,1,0))</f>
        <v>0</v>
      </c>
      <c r="K337">
        <f>IF(J337=1,IF(SUMPRODUCT($J$2:$J$501*EXACT($I$2:$I$501,I337)*($C$2:$C$501&gt;C337))=0,1,0),0)</f>
        <v>0</v>
      </c>
      <c r="L337">
        <f>IF(K337=1,IF(EXACT(F337,"posted"),IF(E337&lt;=Control!$B$2,1,0),0),0)</f>
        <v>0</v>
      </c>
      <c r="M337">
        <f>IF(A337="",0,SUMPRODUCT(EXACT(Rates!$A$2:$A$4,G337)*Rates!$B$2:$B$4))</f>
        <v>0</v>
      </c>
      <c r="N337">
        <f>IF(L337=1,ROUND(ROUND(H337*M337*100,6),0),0)</f>
        <v>0</v>
      </c>
    </row>
    <row r="338">
      <c r="I338" t="str">
        <f>IF(A338="","",LEN(A338)&amp;"|"&amp;A338&amp;B338)</f>
        <v/>
      </c>
      <c r="J338">
        <f>IF(A338="",0,IF(D338&lt;=Control!$B$2,1,0))</f>
        <v>0</v>
      </c>
      <c r="K338">
        <f>IF(J338=1,IF(SUMPRODUCT($J$2:$J$501*EXACT($I$2:$I$501,I338)*($C$2:$C$501&gt;C338))=0,1,0),0)</f>
        <v>0</v>
      </c>
      <c r="L338">
        <f>IF(K338=1,IF(EXACT(F338,"posted"),IF(E338&lt;=Control!$B$2,1,0),0),0)</f>
        <v>0</v>
      </c>
      <c r="M338">
        <f>IF(A338="",0,SUMPRODUCT(EXACT(Rates!$A$2:$A$4,G338)*Rates!$B$2:$B$4))</f>
        <v>0</v>
      </c>
      <c r="N338">
        <f>IF(L338=1,ROUND(ROUND(H338*M338*100,6),0),0)</f>
        <v>0</v>
      </c>
    </row>
    <row r="339">
      <c r="I339" t="str">
        <f>IF(A339="","",LEN(A339)&amp;"|"&amp;A339&amp;B339)</f>
        <v/>
      </c>
      <c r="J339">
        <f>IF(A339="",0,IF(D339&lt;=Control!$B$2,1,0))</f>
        <v>0</v>
      </c>
      <c r="K339">
        <f>IF(J339=1,IF(SUMPRODUCT($J$2:$J$501*EXACT($I$2:$I$501,I339)*($C$2:$C$501&gt;C339))=0,1,0),0)</f>
        <v>0</v>
      </c>
      <c r="L339">
        <f>IF(K339=1,IF(EXACT(F339,"posted"),IF(E339&lt;=Control!$B$2,1,0),0),0)</f>
        <v>0</v>
      </c>
      <c r="M339">
        <f>IF(A339="",0,SUMPRODUCT(EXACT(Rates!$A$2:$A$4,G339)*Rates!$B$2:$B$4))</f>
        <v>0</v>
      </c>
      <c r="N339">
        <f>IF(L339=1,ROUND(ROUND(H339*M339*100,6),0),0)</f>
        <v>0</v>
      </c>
    </row>
    <row r="340">
      <c r="I340" t="str">
        <f>IF(A340="","",LEN(A340)&amp;"|"&amp;A340&amp;B340)</f>
        <v/>
      </c>
      <c r="J340">
        <f>IF(A340="",0,IF(D340&lt;=Control!$B$2,1,0))</f>
        <v>0</v>
      </c>
      <c r="K340">
        <f>IF(J340=1,IF(SUMPRODUCT($J$2:$J$501*EXACT($I$2:$I$501,I340)*($C$2:$C$501&gt;C340))=0,1,0),0)</f>
        <v>0</v>
      </c>
      <c r="L340">
        <f>IF(K340=1,IF(EXACT(F340,"posted"),IF(E340&lt;=Control!$B$2,1,0),0),0)</f>
        <v>0</v>
      </c>
      <c r="M340">
        <f>IF(A340="",0,SUMPRODUCT(EXACT(Rates!$A$2:$A$4,G340)*Rates!$B$2:$B$4))</f>
        <v>0</v>
      </c>
      <c r="N340">
        <f>IF(L340=1,ROUND(ROUND(H340*M340*100,6),0),0)</f>
        <v>0</v>
      </c>
    </row>
    <row r="341">
      <c r="I341" t="str">
        <f>IF(A341="","",LEN(A341)&amp;"|"&amp;A341&amp;B341)</f>
        <v/>
      </c>
      <c r="J341">
        <f>IF(A341="",0,IF(D341&lt;=Control!$B$2,1,0))</f>
        <v>0</v>
      </c>
      <c r="K341">
        <f>IF(J341=1,IF(SUMPRODUCT($J$2:$J$501*EXACT($I$2:$I$501,I341)*($C$2:$C$501&gt;C341))=0,1,0),0)</f>
        <v>0</v>
      </c>
      <c r="L341">
        <f>IF(K341=1,IF(EXACT(F341,"posted"),IF(E341&lt;=Control!$B$2,1,0),0),0)</f>
        <v>0</v>
      </c>
      <c r="M341">
        <f>IF(A341="",0,SUMPRODUCT(EXACT(Rates!$A$2:$A$4,G341)*Rates!$B$2:$B$4))</f>
        <v>0</v>
      </c>
      <c r="N341">
        <f>IF(L341=1,ROUND(ROUND(H341*M341*100,6),0),0)</f>
        <v>0</v>
      </c>
    </row>
    <row r="342">
      <c r="I342" t="str">
        <f>IF(A342="","",LEN(A342)&amp;"|"&amp;A342&amp;B342)</f>
        <v/>
      </c>
      <c r="J342">
        <f>IF(A342="",0,IF(D342&lt;=Control!$B$2,1,0))</f>
        <v>0</v>
      </c>
      <c r="K342">
        <f>IF(J342=1,IF(SUMPRODUCT($J$2:$J$501*EXACT($I$2:$I$501,I342)*($C$2:$C$501&gt;C342))=0,1,0),0)</f>
        <v>0</v>
      </c>
      <c r="L342">
        <f>IF(K342=1,IF(EXACT(F342,"posted"),IF(E342&lt;=Control!$B$2,1,0),0),0)</f>
        <v>0</v>
      </c>
      <c r="M342">
        <f>IF(A342="",0,SUMPRODUCT(EXACT(Rates!$A$2:$A$4,G342)*Rates!$B$2:$B$4))</f>
        <v>0</v>
      </c>
      <c r="N342">
        <f>IF(L342=1,ROUND(ROUND(H342*M342*100,6),0),0)</f>
        <v>0</v>
      </c>
    </row>
    <row r="343">
      <c r="I343" t="str">
        <f>IF(A343="","",LEN(A343)&amp;"|"&amp;A343&amp;B343)</f>
        <v/>
      </c>
      <c r="J343">
        <f>IF(A343="",0,IF(D343&lt;=Control!$B$2,1,0))</f>
        <v>0</v>
      </c>
      <c r="K343">
        <f>IF(J343=1,IF(SUMPRODUCT($J$2:$J$501*EXACT($I$2:$I$501,I343)*($C$2:$C$501&gt;C343))=0,1,0),0)</f>
        <v>0</v>
      </c>
      <c r="L343">
        <f>IF(K343=1,IF(EXACT(F343,"posted"),IF(E343&lt;=Control!$B$2,1,0),0),0)</f>
        <v>0</v>
      </c>
      <c r="M343">
        <f>IF(A343="",0,SUMPRODUCT(EXACT(Rates!$A$2:$A$4,G343)*Rates!$B$2:$B$4))</f>
        <v>0</v>
      </c>
      <c r="N343">
        <f>IF(L343=1,ROUND(ROUND(H343*M343*100,6),0),0)</f>
        <v>0</v>
      </c>
    </row>
    <row r="344">
      <c r="I344" t="str">
        <f>IF(A344="","",LEN(A344)&amp;"|"&amp;A344&amp;B344)</f>
        <v/>
      </c>
      <c r="J344">
        <f>IF(A344="",0,IF(D344&lt;=Control!$B$2,1,0))</f>
        <v>0</v>
      </c>
      <c r="K344">
        <f>IF(J344=1,IF(SUMPRODUCT($J$2:$J$501*EXACT($I$2:$I$501,I344)*($C$2:$C$501&gt;C344))=0,1,0),0)</f>
        <v>0</v>
      </c>
      <c r="L344">
        <f>IF(K344=1,IF(EXACT(F344,"posted"),IF(E344&lt;=Control!$B$2,1,0),0),0)</f>
        <v>0</v>
      </c>
      <c r="M344">
        <f>IF(A344="",0,SUMPRODUCT(EXACT(Rates!$A$2:$A$4,G344)*Rates!$B$2:$B$4))</f>
        <v>0</v>
      </c>
      <c r="N344">
        <f>IF(L344=1,ROUND(ROUND(H344*M344*100,6),0),0)</f>
        <v>0</v>
      </c>
    </row>
    <row r="345">
      <c r="I345" t="str">
        <f>IF(A345="","",LEN(A345)&amp;"|"&amp;A345&amp;B345)</f>
        <v/>
      </c>
      <c r="J345">
        <f>IF(A345="",0,IF(D345&lt;=Control!$B$2,1,0))</f>
        <v>0</v>
      </c>
      <c r="K345">
        <f>IF(J345=1,IF(SUMPRODUCT($J$2:$J$501*EXACT($I$2:$I$501,I345)*($C$2:$C$501&gt;C345))=0,1,0),0)</f>
        <v>0</v>
      </c>
      <c r="L345">
        <f>IF(K345=1,IF(EXACT(F345,"posted"),IF(E345&lt;=Control!$B$2,1,0),0),0)</f>
        <v>0</v>
      </c>
      <c r="M345">
        <f>IF(A345="",0,SUMPRODUCT(EXACT(Rates!$A$2:$A$4,G345)*Rates!$B$2:$B$4))</f>
        <v>0</v>
      </c>
      <c r="N345">
        <f>IF(L345=1,ROUND(ROUND(H345*M345*100,6),0),0)</f>
        <v>0</v>
      </c>
    </row>
    <row r="346">
      <c r="I346" t="str">
        <f>IF(A346="","",LEN(A346)&amp;"|"&amp;A346&amp;B346)</f>
        <v/>
      </c>
      <c r="J346">
        <f>IF(A346="",0,IF(D346&lt;=Control!$B$2,1,0))</f>
        <v>0</v>
      </c>
      <c r="K346">
        <f>IF(J346=1,IF(SUMPRODUCT($J$2:$J$501*EXACT($I$2:$I$501,I346)*($C$2:$C$501&gt;C346))=0,1,0),0)</f>
        <v>0</v>
      </c>
      <c r="L346">
        <f>IF(K346=1,IF(EXACT(F346,"posted"),IF(E346&lt;=Control!$B$2,1,0),0),0)</f>
        <v>0</v>
      </c>
      <c r="M346">
        <f>IF(A346="",0,SUMPRODUCT(EXACT(Rates!$A$2:$A$4,G346)*Rates!$B$2:$B$4))</f>
        <v>0</v>
      </c>
      <c r="N346">
        <f>IF(L346=1,ROUND(ROUND(H346*M346*100,6),0),0)</f>
        <v>0</v>
      </c>
    </row>
    <row r="347">
      <c r="I347" t="str">
        <f>IF(A347="","",LEN(A347)&amp;"|"&amp;A347&amp;B347)</f>
        <v/>
      </c>
      <c r="J347">
        <f>IF(A347="",0,IF(D347&lt;=Control!$B$2,1,0))</f>
        <v>0</v>
      </c>
      <c r="K347">
        <f>IF(J347=1,IF(SUMPRODUCT($J$2:$J$501*EXACT($I$2:$I$501,I347)*($C$2:$C$501&gt;C347))=0,1,0),0)</f>
        <v>0</v>
      </c>
      <c r="L347">
        <f>IF(K347=1,IF(EXACT(F347,"posted"),IF(E347&lt;=Control!$B$2,1,0),0),0)</f>
        <v>0</v>
      </c>
      <c r="M347">
        <f>IF(A347="",0,SUMPRODUCT(EXACT(Rates!$A$2:$A$4,G347)*Rates!$B$2:$B$4))</f>
        <v>0</v>
      </c>
      <c r="N347">
        <f>IF(L347=1,ROUND(ROUND(H347*M347*100,6),0),0)</f>
        <v>0</v>
      </c>
    </row>
    <row r="348">
      <c r="I348" t="str">
        <f>IF(A348="","",LEN(A348)&amp;"|"&amp;A348&amp;B348)</f>
        <v/>
      </c>
      <c r="J348">
        <f>IF(A348="",0,IF(D348&lt;=Control!$B$2,1,0))</f>
        <v>0</v>
      </c>
      <c r="K348">
        <f>IF(J348=1,IF(SUMPRODUCT($J$2:$J$501*EXACT($I$2:$I$501,I348)*($C$2:$C$501&gt;C348))=0,1,0),0)</f>
        <v>0</v>
      </c>
      <c r="L348">
        <f>IF(K348=1,IF(EXACT(F348,"posted"),IF(E348&lt;=Control!$B$2,1,0),0),0)</f>
        <v>0</v>
      </c>
      <c r="M348">
        <f>IF(A348="",0,SUMPRODUCT(EXACT(Rates!$A$2:$A$4,G348)*Rates!$B$2:$B$4))</f>
        <v>0</v>
      </c>
      <c r="N348">
        <f>IF(L348=1,ROUND(ROUND(H348*M348*100,6),0),0)</f>
        <v>0</v>
      </c>
    </row>
    <row r="349">
      <c r="I349" t="str">
        <f>IF(A349="","",LEN(A349)&amp;"|"&amp;A349&amp;B349)</f>
        <v/>
      </c>
      <c r="J349">
        <f>IF(A349="",0,IF(D349&lt;=Control!$B$2,1,0))</f>
        <v>0</v>
      </c>
      <c r="K349">
        <f>IF(J349=1,IF(SUMPRODUCT($J$2:$J$501*EXACT($I$2:$I$501,I349)*($C$2:$C$501&gt;C349))=0,1,0),0)</f>
        <v>0</v>
      </c>
      <c r="L349">
        <f>IF(K349=1,IF(EXACT(F349,"posted"),IF(E349&lt;=Control!$B$2,1,0),0),0)</f>
        <v>0</v>
      </c>
      <c r="M349">
        <f>IF(A349="",0,SUMPRODUCT(EXACT(Rates!$A$2:$A$4,G349)*Rates!$B$2:$B$4))</f>
        <v>0</v>
      </c>
      <c r="N349">
        <f>IF(L349=1,ROUND(ROUND(H349*M349*100,6),0),0)</f>
        <v>0</v>
      </c>
    </row>
    <row r="350">
      <c r="I350" t="str">
        <f>IF(A350="","",LEN(A350)&amp;"|"&amp;A350&amp;B350)</f>
        <v/>
      </c>
      <c r="J350">
        <f>IF(A350="",0,IF(D350&lt;=Control!$B$2,1,0))</f>
        <v>0</v>
      </c>
      <c r="K350">
        <f>IF(J350=1,IF(SUMPRODUCT($J$2:$J$501*EXACT($I$2:$I$501,I350)*($C$2:$C$501&gt;C350))=0,1,0),0)</f>
        <v>0</v>
      </c>
      <c r="L350">
        <f>IF(K350=1,IF(EXACT(F350,"posted"),IF(E350&lt;=Control!$B$2,1,0),0),0)</f>
        <v>0</v>
      </c>
      <c r="M350">
        <f>IF(A350="",0,SUMPRODUCT(EXACT(Rates!$A$2:$A$4,G350)*Rates!$B$2:$B$4))</f>
        <v>0</v>
      </c>
      <c r="N350">
        <f>IF(L350=1,ROUND(ROUND(H350*M350*100,6),0),0)</f>
        <v>0</v>
      </c>
    </row>
    <row r="351">
      <c r="I351" t="str">
        <f>IF(A351="","",LEN(A351)&amp;"|"&amp;A351&amp;B351)</f>
        <v/>
      </c>
      <c r="J351">
        <f>IF(A351="",0,IF(D351&lt;=Control!$B$2,1,0))</f>
        <v>0</v>
      </c>
      <c r="K351">
        <f>IF(J351=1,IF(SUMPRODUCT($J$2:$J$501*EXACT($I$2:$I$501,I351)*($C$2:$C$501&gt;C351))=0,1,0),0)</f>
        <v>0</v>
      </c>
      <c r="L351">
        <f>IF(K351=1,IF(EXACT(F351,"posted"),IF(E351&lt;=Control!$B$2,1,0),0),0)</f>
        <v>0</v>
      </c>
      <c r="M351">
        <f>IF(A351="",0,SUMPRODUCT(EXACT(Rates!$A$2:$A$4,G351)*Rates!$B$2:$B$4))</f>
        <v>0</v>
      </c>
      <c r="N351">
        <f>IF(L351=1,ROUND(ROUND(H351*M351*100,6),0),0)</f>
        <v>0</v>
      </c>
    </row>
    <row r="352">
      <c r="I352" t="str">
        <f>IF(A352="","",LEN(A352)&amp;"|"&amp;A352&amp;B352)</f>
        <v/>
      </c>
      <c r="J352">
        <f>IF(A352="",0,IF(D352&lt;=Control!$B$2,1,0))</f>
        <v>0</v>
      </c>
      <c r="K352">
        <f>IF(J352=1,IF(SUMPRODUCT($J$2:$J$501*EXACT($I$2:$I$501,I352)*($C$2:$C$501&gt;C352))=0,1,0),0)</f>
        <v>0</v>
      </c>
      <c r="L352">
        <f>IF(K352=1,IF(EXACT(F352,"posted"),IF(E352&lt;=Control!$B$2,1,0),0),0)</f>
        <v>0</v>
      </c>
      <c r="M352">
        <f>IF(A352="",0,SUMPRODUCT(EXACT(Rates!$A$2:$A$4,G352)*Rates!$B$2:$B$4))</f>
        <v>0</v>
      </c>
      <c r="N352">
        <f>IF(L352=1,ROUND(ROUND(H352*M352*100,6),0),0)</f>
        <v>0</v>
      </c>
    </row>
    <row r="353">
      <c r="I353" t="str">
        <f>IF(A353="","",LEN(A353)&amp;"|"&amp;A353&amp;B353)</f>
        <v/>
      </c>
      <c r="J353">
        <f>IF(A353="",0,IF(D353&lt;=Control!$B$2,1,0))</f>
        <v>0</v>
      </c>
      <c r="K353">
        <f>IF(J353=1,IF(SUMPRODUCT($J$2:$J$501*EXACT($I$2:$I$501,I353)*($C$2:$C$501&gt;C353))=0,1,0),0)</f>
        <v>0</v>
      </c>
      <c r="L353">
        <f>IF(K353=1,IF(EXACT(F353,"posted"),IF(E353&lt;=Control!$B$2,1,0),0),0)</f>
        <v>0</v>
      </c>
      <c r="M353">
        <f>IF(A353="",0,SUMPRODUCT(EXACT(Rates!$A$2:$A$4,G353)*Rates!$B$2:$B$4))</f>
        <v>0</v>
      </c>
      <c r="N353">
        <f>IF(L353=1,ROUND(ROUND(H353*M353*100,6),0),0)</f>
        <v>0</v>
      </c>
    </row>
    <row r="354">
      <c r="I354" t="str">
        <f>IF(A354="","",LEN(A354)&amp;"|"&amp;A354&amp;B354)</f>
        <v/>
      </c>
      <c r="J354">
        <f>IF(A354="",0,IF(D354&lt;=Control!$B$2,1,0))</f>
        <v>0</v>
      </c>
      <c r="K354">
        <f>IF(J354=1,IF(SUMPRODUCT($J$2:$J$501*EXACT($I$2:$I$501,I354)*($C$2:$C$501&gt;C354))=0,1,0),0)</f>
        <v>0</v>
      </c>
      <c r="L354">
        <f>IF(K354=1,IF(EXACT(F354,"posted"),IF(E354&lt;=Control!$B$2,1,0),0),0)</f>
        <v>0</v>
      </c>
      <c r="M354">
        <f>IF(A354="",0,SUMPRODUCT(EXACT(Rates!$A$2:$A$4,G354)*Rates!$B$2:$B$4))</f>
        <v>0</v>
      </c>
      <c r="N354">
        <f>IF(L354=1,ROUND(ROUND(H354*M354*100,6),0),0)</f>
        <v>0</v>
      </c>
    </row>
    <row r="355">
      <c r="I355" t="str">
        <f>IF(A355="","",LEN(A355)&amp;"|"&amp;A355&amp;B355)</f>
        <v/>
      </c>
      <c r="J355">
        <f>IF(A355="",0,IF(D355&lt;=Control!$B$2,1,0))</f>
        <v>0</v>
      </c>
      <c r="K355">
        <f>IF(J355=1,IF(SUMPRODUCT($J$2:$J$501*EXACT($I$2:$I$501,I355)*($C$2:$C$501&gt;C355))=0,1,0),0)</f>
        <v>0</v>
      </c>
      <c r="L355">
        <f>IF(K355=1,IF(EXACT(F355,"posted"),IF(E355&lt;=Control!$B$2,1,0),0),0)</f>
        <v>0</v>
      </c>
      <c r="M355">
        <f>IF(A355="",0,SUMPRODUCT(EXACT(Rates!$A$2:$A$4,G355)*Rates!$B$2:$B$4))</f>
        <v>0</v>
      </c>
      <c r="N355">
        <f>IF(L355=1,ROUND(ROUND(H355*M355*100,6),0),0)</f>
        <v>0</v>
      </c>
    </row>
    <row r="356">
      <c r="I356" t="str">
        <f>IF(A356="","",LEN(A356)&amp;"|"&amp;A356&amp;B356)</f>
        <v/>
      </c>
      <c r="J356">
        <f>IF(A356="",0,IF(D356&lt;=Control!$B$2,1,0))</f>
        <v>0</v>
      </c>
      <c r="K356">
        <f>IF(J356=1,IF(SUMPRODUCT($J$2:$J$501*EXACT($I$2:$I$501,I356)*($C$2:$C$501&gt;C356))=0,1,0),0)</f>
        <v>0</v>
      </c>
      <c r="L356">
        <f>IF(K356=1,IF(EXACT(F356,"posted"),IF(E356&lt;=Control!$B$2,1,0),0),0)</f>
        <v>0</v>
      </c>
      <c r="M356">
        <f>IF(A356="",0,SUMPRODUCT(EXACT(Rates!$A$2:$A$4,G356)*Rates!$B$2:$B$4))</f>
        <v>0</v>
      </c>
      <c r="N356">
        <f>IF(L356=1,ROUND(ROUND(H356*M356*100,6),0),0)</f>
        <v>0</v>
      </c>
    </row>
    <row r="357">
      <c r="I357" t="str">
        <f>IF(A357="","",LEN(A357)&amp;"|"&amp;A357&amp;B357)</f>
        <v/>
      </c>
      <c r="J357">
        <f>IF(A357="",0,IF(D357&lt;=Control!$B$2,1,0))</f>
        <v>0</v>
      </c>
      <c r="K357">
        <f>IF(J357=1,IF(SUMPRODUCT($J$2:$J$501*EXACT($I$2:$I$501,I357)*($C$2:$C$501&gt;C357))=0,1,0),0)</f>
        <v>0</v>
      </c>
      <c r="L357">
        <f>IF(K357=1,IF(EXACT(F357,"posted"),IF(E357&lt;=Control!$B$2,1,0),0),0)</f>
        <v>0</v>
      </c>
      <c r="M357">
        <f>IF(A357="",0,SUMPRODUCT(EXACT(Rates!$A$2:$A$4,G357)*Rates!$B$2:$B$4))</f>
        <v>0</v>
      </c>
      <c r="N357">
        <f>IF(L357=1,ROUND(ROUND(H357*M357*100,6),0),0)</f>
        <v>0</v>
      </c>
    </row>
    <row r="358">
      <c r="I358" t="str">
        <f>IF(A358="","",LEN(A358)&amp;"|"&amp;A358&amp;B358)</f>
        <v/>
      </c>
      <c r="J358">
        <f>IF(A358="",0,IF(D358&lt;=Control!$B$2,1,0))</f>
        <v>0</v>
      </c>
      <c r="K358">
        <f>IF(J358=1,IF(SUMPRODUCT($J$2:$J$501*EXACT($I$2:$I$501,I358)*($C$2:$C$501&gt;C358))=0,1,0),0)</f>
        <v>0</v>
      </c>
      <c r="L358">
        <f>IF(K358=1,IF(EXACT(F358,"posted"),IF(E358&lt;=Control!$B$2,1,0),0),0)</f>
        <v>0</v>
      </c>
      <c r="M358">
        <f>IF(A358="",0,SUMPRODUCT(EXACT(Rates!$A$2:$A$4,G358)*Rates!$B$2:$B$4))</f>
        <v>0</v>
      </c>
      <c r="N358">
        <f>IF(L358=1,ROUND(ROUND(H358*M358*100,6),0),0)</f>
        <v>0</v>
      </c>
    </row>
    <row r="359">
      <c r="I359" t="str">
        <f>IF(A359="","",LEN(A359)&amp;"|"&amp;A359&amp;B359)</f>
        <v/>
      </c>
      <c r="J359">
        <f>IF(A359="",0,IF(D359&lt;=Control!$B$2,1,0))</f>
        <v>0</v>
      </c>
      <c r="K359">
        <f>IF(J359=1,IF(SUMPRODUCT($J$2:$J$501*EXACT($I$2:$I$501,I359)*($C$2:$C$501&gt;C359))=0,1,0),0)</f>
        <v>0</v>
      </c>
      <c r="L359">
        <f>IF(K359=1,IF(EXACT(F359,"posted"),IF(E359&lt;=Control!$B$2,1,0),0),0)</f>
        <v>0</v>
      </c>
      <c r="M359">
        <f>IF(A359="",0,SUMPRODUCT(EXACT(Rates!$A$2:$A$4,G359)*Rates!$B$2:$B$4))</f>
        <v>0</v>
      </c>
      <c r="N359">
        <f>IF(L359=1,ROUND(ROUND(H359*M359*100,6),0),0)</f>
        <v>0</v>
      </c>
    </row>
    <row r="360">
      <c r="I360" t="str">
        <f>IF(A360="","",LEN(A360)&amp;"|"&amp;A360&amp;B360)</f>
        <v/>
      </c>
      <c r="J360">
        <f>IF(A360="",0,IF(D360&lt;=Control!$B$2,1,0))</f>
        <v>0</v>
      </c>
      <c r="K360">
        <f>IF(J360=1,IF(SUMPRODUCT($J$2:$J$501*EXACT($I$2:$I$501,I360)*($C$2:$C$501&gt;C360))=0,1,0),0)</f>
        <v>0</v>
      </c>
      <c r="L360">
        <f>IF(K360=1,IF(EXACT(F360,"posted"),IF(E360&lt;=Control!$B$2,1,0),0),0)</f>
        <v>0</v>
      </c>
      <c r="M360">
        <f>IF(A360="",0,SUMPRODUCT(EXACT(Rates!$A$2:$A$4,G360)*Rates!$B$2:$B$4))</f>
        <v>0</v>
      </c>
      <c r="N360">
        <f>IF(L360=1,ROUND(ROUND(H360*M360*100,6),0),0)</f>
        <v>0</v>
      </c>
    </row>
    <row r="361">
      <c r="I361" t="str">
        <f>IF(A361="","",LEN(A361)&amp;"|"&amp;A361&amp;B361)</f>
        <v/>
      </c>
      <c r="J361">
        <f>IF(A361="",0,IF(D361&lt;=Control!$B$2,1,0))</f>
        <v>0</v>
      </c>
      <c r="K361">
        <f>IF(J361=1,IF(SUMPRODUCT($J$2:$J$501*EXACT($I$2:$I$501,I361)*($C$2:$C$501&gt;C361))=0,1,0),0)</f>
        <v>0</v>
      </c>
      <c r="L361">
        <f>IF(K361=1,IF(EXACT(F361,"posted"),IF(E361&lt;=Control!$B$2,1,0),0),0)</f>
        <v>0</v>
      </c>
      <c r="M361">
        <f>IF(A361="",0,SUMPRODUCT(EXACT(Rates!$A$2:$A$4,G361)*Rates!$B$2:$B$4))</f>
        <v>0</v>
      </c>
      <c r="N361">
        <f>IF(L361=1,ROUND(ROUND(H361*M361*100,6),0),0)</f>
        <v>0</v>
      </c>
    </row>
    <row r="362">
      <c r="I362" t="str">
        <f>IF(A362="","",LEN(A362)&amp;"|"&amp;A362&amp;B362)</f>
        <v/>
      </c>
      <c r="J362">
        <f>IF(A362="",0,IF(D362&lt;=Control!$B$2,1,0))</f>
        <v>0</v>
      </c>
      <c r="K362">
        <f>IF(J362=1,IF(SUMPRODUCT($J$2:$J$501*EXACT($I$2:$I$501,I362)*($C$2:$C$501&gt;C362))=0,1,0),0)</f>
        <v>0</v>
      </c>
      <c r="L362">
        <f>IF(K362=1,IF(EXACT(F362,"posted"),IF(E362&lt;=Control!$B$2,1,0),0),0)</f>
        <v>0</v>
      </c>
      <c r="M362">
        <f>IF(A362="",0,SUMPRODUCT(EXACT(Rates!$A$2:$A$4,G362)*Rates!$B$2:$B$4))</f>
        <v>0</v>
      </c>
      <c r="N362">
        <f>IF(L362=1,ROUND(ROUND(H362*M362*100,6),0),0)</f>
        <v>0</v>
      </c>
    </row>
    <row r="363">
      <c r="I363" t="str">
        <f>IF(A363="","",LEN(A363)&amp;"|"&amp;A363&amp;B363)</f>
        <v/>
      </c>
      <c r="J363">
        <f>IF(A363="",0,IF(D363&lt;=Control!$B$2,1,0))</f>
        <v>0</v>
      </c>
      <c r="K363">
        <f>IF(J363=1,IF(SUMPRODUCT($J$2:$J$501*EXACT($I$2:$I$501,I363)*($C$2:$C$501&gt;C363))=0,1,0),0)</f>
        <v>0</v>
      </c>
      <c r="L363">
        <f>IF(K363=1,IF(EXACT(F363,"posted"),IF(E363&lt;=Control!$B$2,1,0),0),0)</f>
        <v>0</v>
      </c>
      <c r="M363">
        <f>IF(A363="",0,SUMPRODUCT(EXACT(Rates!$A$2:$A$4,G363)*Rates!$B$2:$B$4))</f>
        <v>0</v>
      </c>
      <c r="N363">
        <f>IF(L363=1,ROUND(ROUND(H363*M363*100,6),0),0)</f>
        <v>0</v>
      </c>
    </row>
    <row r="364">
      <c r="I364" t="str">
        <f>IF(A364="","",LEN(A364)&amp;"|"&amp;A364&amp;B364)</f>
        <v/>
      </c>
      <c r="J364">
        <f>IF(A364="",0,IF(D364&lt;=Control!$B$2,1,0))</f>
        <v>0</v>
      </c>
      <c r="K364">
        <f>IF(J364=1,IF(SUMPRODUCT($J$2:$J$501*EXACT($I$2:$I$501,I364)*($C$2:$C$501&gt;C364))=0,1,0),0)</f>
        <v>0</v>
      </c>
      <c r="L364">
        <f>IF(K364=1,IF(EXACT(F364,"posted"),IF(E364&lt;=Control!$B$2,1,0),0),0)</f>
        <v>0</v>
      </c>
      <c r="M364">
        <f>IF(A364="",0,SUMPRODUCT(EXACT(Rates!$A$2:$A$4,G364)*Rates!$B$2:$B$4))</f>
        <v>0</v>
      </c>
      <c r="N364">
        <f>IF(L364=1,ROUND(ROUND(H364*M364*100,6),0),0)</f>
        <v>0</v>
      </c>
    </row>
    <row r="365">
      <c r="I365" t="str">
        <f>IF(A365="","",LEN(A365)&amp;"|"&amp;A365&amp;B365)</f>
        <v/>
      </c>
      <c r="J365">
        <f>IF(A365="",0,IF(D365&lt;=Control!$B$2,1,0))</f>
        <v>0</v>
      </c>
      <c r="K365">
        <f>IF(J365=1,IF(SUMPRODUCT($J$2:$J$501*EXACT($I$2:$I$501,I365)*($C$2:$C$501&gt;C365))=0,1,0),0)</f>
        <v>0</v>
      </c>
      <c r="L365">
        <f>IF(K365=1,IF(EXACT(F365,"posted"),IF(E365&lt;=Control!$B$2,1,0),0),0)</f>
        <v>0</v>
      </c>
      <c r="M365">
        <f>IF(A365="",0,SUMPRODUCT(EXACT(Rates!$A$2:$A$4,G365)*Rates!$B$2:$B$4))</f>
        <v>0</v>
      </c>
      <c r="N365">
        <f>IF(L365=1,ROUND(ROUND(H365*M365*100,6),0),0)</f>
        <v>0</v>
      </c>
    </row>
    <row r="366">
      <c r="I366" t="str">
        <f>IF(A366="","",LEN(A366)&amp;"|"&amp;A366&amp;B366)</f>
        <v/>
      </c>
      <c r="J366">
        <f>IF(A366="",0,IF(D366&lt;=Control!$B$2,1,0))</f>
        <v>0</v>
      </c>
      <c r="K366">
        <f>IF(J366=1,IF(SUMPRODUCT($J$2:$J$501*EXACT($I$2:$I$501,I366)*($C$2:$C$501&gt;C366))=0,1,0),0)</f>
        <v>0</v>
      </c>
      <c r="L366">
        <f>IF(K366=1,IF(EXACT(F366,"posted"),IF(E366&lt;=Control!$B$2,1,0),0),0)</f>
        <v>0</v>
      </c>
      <c r="M366">
        <f>IF(A366="",0,SUMPRODUCT(EXACT(Rates!$A$2:$A$4,G366)*Rates!$B$2:$B$4))</f>
        <v>0</v>
      </c>
      <c r="N366">
        <f>IF(L366=1,ROUND(ROUND(H366*M366*100,6),0),0)</f>
        <v>0</v>
      </c>
    </row>
    <row r="367">
      <c r="I367" t="str">
        <f>IF(A367="","",LEN(A367)&amp;"|"&amp;A367&amp;B367)</f>
        <v/>
      </c>
      <c r="J367">
        <f>IF(A367="",0,IF(D367&lt;=Control!$B$2,1,0))</f>
        <v>0</v>
      </c>
      <c r="K367">
        <f>IF(J367=1,IF(SUMPRODUCT($J$2:$J$501*EXACT($I$2:$I$501,I367)*($C$2:$C$501&gt;C367))=0,1,0),0)</f>
        <v>0</v>
      </c>
      <c r="L367">
        <f>IF(K367=1,IF(EXACT(F367,"posted"),IF(E367&lt;=Control!$B$2,1,0),0),0)</f>
        <v>0</v>
      </c>
      <c r="M367">
        <f>IF(A367="",0,SUMPRODUCT(EXACT(Rates!$A$2:$A$4,G367)*Rates!$B$2:$B$4))</f>
        <v>0</v>
      </c>
      <c r="N367">
        <f>IF(L367=1,ROUND(ROUND(H367*M367*100,6),0),0)</f>
        <v>0</v>
      </c>
    </row>
    <row r="368">
      <c r="I368" t="str">
        <f>IF(A368="","",LEN(A368)&amp;"|"&amp;A368&amp;B368)</f>
        <v/>
      </c>
      <c r="J368">
        <f>IF(A368="",0,IF(D368&lt;=Control!$B$2,1,0))</f>
        <v>0</v>
      </c>
      <c r="K368">
        <f>IF(J368=1,IF(SUMPRODUCT($J$2:$J$501*EXACT($I$2:$I$501,I368)*($C$2:$C$501&gt;C368))=0,1,0),0)</f>
        <v>0</v>
      </c>
      <c r="L368">
        <f>IF(K368=1,IF(EXACT(F368,"posted"),IF(E368&lt;=Control!$B$2,1,0),0),0)</f>
        <v>0</v>
      </c>
      <c r="M368">
        <f>IF(A368="",0,SUMPRODUCT(EXACT(Rates!$A$2:$A$4,G368)*Rates!$B$2:$B$4))</f>
        <v>0</v>
      </c>
      <c r="N368">
        <f>IF(L368=1,ROUND(ROUND(H368*M368*100,6),0),0)</f>
        <v>0</v>
      </c>
    </row>
    <row r="369">
      <c r="I369" t="str">
        <f>IF(A369="","",LEN(A369)&amp;"|"&amp;A369&amp;B369)</f>
        <v/>
      </c>
      <c r="J369">
        <f>IF(A369="",0,IF(D369&lt;=Control!$B$2,1,0))</f>
        <v>0</v>
      </c>
      <c r="K369">
        <f>IF(J369=1,IF(SUMPRODUCT($J$2:$J$501*EXACT($I$2:$I$501,I369)*($C$2:$C$501&gt;C369))=0,1,0),0)</f>
        <v>0</v>
      </c>
      <c r="L369">
        <f>IF(K369=1,IF(EXACT(F369,"posted"),IF(E369&lt;=Control!$B$2,1,0),0),0)</f>
        <v>0</v>
      </c>
      <c r="M369">
        <f>IF(A369="",0,SUMPRODUCT(EXACT(Rates!$A$2:$A$4,G369)*Rates!$B$2:$B$4))</f>
        <v>0</v>
      </c>
      <c r="N369">
        <f>IF(L369=1,ROUND(ROUND(H369*M369*100,6),0),0)</f>
        <v>0</v>
      </c>
    </row>
    <row r="370">
      <c r="I370" t="str">
        <f>IF(A370="","",LEN(A370)&amp;"|"&amp;A370&amp;B370)</f>
        <v/>
      </c>
      <c r="J370">
        <f>IF(A370="",0,IF(D370&lt;=Control!$B$2,1,0))</f>
        <v>0</v>
      </c>
      <c r="K370">
        <f>IF(J370=1,IF(SUMPRODUCT($J$2:$J$501*EXACT($I$2:$I$501,I370)*($C$2:$C$501&gt;C370))=0,1,0),0)</f>
        <v>0</v>
      </c>
      <c r="L370">
        <f>IF(K370=1,IF(EXACT(F370,"posted"),IF(E370&lt;=Control!$B$2,1,0),0),0)</f>
        <v>0</v>
      </c>
      <c r="M370">
        <f>IF(A370="",0,SUMPRODUCT(EXACT(Rates!$A$2:$A$4,G370)*Rates!$B$2:$B$4))</f>
        <v>0</v>
      </c>
      <c r="N370">
        <f>IF(L370=1,ROUND(ROUND(H370*M370*100,6),0),0)</f>
        <v>0</v>
      </c>
    </row>
    <row r="371">
      <c r="I371" t="str">
        <f>IF(A371="","",LEN(A371)&amp;"|"&amp;A371&amp;B371)</f>
        <v/>
      </c>
      <c r="J371">
        <f>IF(A371="",0,IF(D371&lt;=Control!$B$2,1,0))</f>
        <v>0</v>
      </c>
      <c r="K371">
        <f>IF(J371=1,IF(SUMPRODUCT($J$2:$J$501*EXACT($I$2:$I$501,I371)*($C$2:$C$501&gt;C371))=0,1,0),0)</f>
        <v>0</v>
      </c>
      <c r="L371">
        <f>IF(K371=1,IF(EXACT(F371,"posted"),IF(E371&lt;=Control!$B$2,1,0),0),0)</f>
        <v>0</v>
      </c>
      <c r="M371">
        <f>IF(A371="",0,SUMPRODUCT(EXACT(Rates!$A$2:$A$4,G371)*Rates!$B$2:$B$4))</f>
        <v>0</v>
      </c>
      <c r="N371">
        <f>IF(L371=1,ROUND(ROUND(H371*M371*100,6),0),0)</f>
        <v>0</v>
      </c>
    </row>
    <row r="372">
      <c r="I372" t="str">
        <f>IF(A372="","",LEN(A372)&amp;"|"&amp;A372&amp;B372)</f>
        <v/>
      </c>
      <c r="J372">
        <f>IF(A372="",0,IF(D372&lt;=Control!$B$2,1,0))</f>
        <v>0</v>
      </c>
      <c r="K372">
        <f>IF(J372=1,IF(SUMPRODUCT($J$2:$J$501*EXACT($I$2:$I$501,I372)*($C$2:$C$501&gt;C372))=0,1,0),0)</f>
        <v>0</v>
      </c>
      <c r="L372">
        <f>IF(K372=1,IF(EXACT(F372,"posted"),IF(E372&lt;=Control!$B$2,1,0),0),0)</f>
        <v>0</v>
      </c>
      <c r="M372">
        <f>IF(A372="",0,SUMPRODUCT(EXACT(Rates!$A$2:$A$4,G372)*Rates!$B$2:$B$4))</f>
        <v>0</v>
      </c>
      <c r="N372">
        <f>IF(L372=1,ROUND(ROUND(H372*M372*100,6),0),0)</f>
        <v>0</v>
      </c>
    </row>
    <row r="373">
      <c r="I373" t="str">
        <f>IF(A373="","",LEN(A373)&amp;"|"&amp;A373&amp;B373)</f>
        <v/>
      </c>
      <c r="J373">
        <f>IF(A373="",0,IF(D373&lt;=Control!$B$2,1,0))</f>
        <v>0</v>
      </c>
      <c r="K373">
        <f>IF(J373=1,IF(SUMPRODUCT($J$2:$J$501*EXACT($I$2:$I$501,I373)*($C$2:$C$501&gt;C373))=0,1,0),0)</f>
        <v>0</v>
      </c>
      <c r="L373">
        <f>IF(K373=1,IF(EXACT(F373,"posted"),IF(E373&lt;=Control!$B$2,1,0),0),0)</f>
        <v>0</v>
      </c>
      <c r="M373">
        <f>IF(A373="",0,SUMPRODUCT(EXACT(Rates!$A$2:$A$4,G373)*Rates!$B$2:$B$4))</f>
        <v>0</v>
      </c>
      <c r="N373">
        <f>IF(L373=1,ROUND(ROUND(H373*M373*100,6),0),0)</f>
        <v>0</v>
      </c>
    </row>
    <row r="374">
      <c r="I374" t="str">
        <f>IF(A374="","",LEN(A374)&amp;"|"&amp;A374&amp;B374)</f>
        <v/>
      </c>
      <c r="J374">
        <f>IF(A374="",0,IF(D374&lt;=Control!$B$2,1,0))</f>
        <v>0</v>
      </c>
      <c r="K374">
        <f>IF(J374=1,IF(SUMPRODUCT($J$2:$J$501*EXACT($I$2:$I$501,I374)*($C$2:$C$501&gt;C374))=0,1,0),0)</f>
        <v>0</v>
      </c>
      <c r="L374">
        <f>IF(K374=1,IF(EXACT(F374,"posted"),IF(E374&lt;=Control!$B$2,1,0),0),0)</f>
        <v>0</v>
      </c>
      <c r="M374">
        <f>IF(A374="",0,SUMPRODUCT(EXACT(Rates!$A$2:$A$4,G374)*Rates!$B$2:$B$4))</f>
        <v>0</v>
      </c>
      <c r="N374">
        <f>IF(L374=1,ROUND(ROUND(H374*M374*100,6),0),0)</f>
        <v>0</v>
      </c>
    </row>
    <row r="375">
      <c r="I375" t="str">
        <f>IF(A375="","",LEN(A375)&amp;"|"&amp;A375&amp;B375)</f>
        <v/>
      </c>
      <c r="J375">
        <f>IF(A375="",0,IF(D375&lt;=Control!$B$2,1,0))</f>
        <v>0</v>
      </c>
      <c r="K375">
        <f>IF(J375=1,IF(SUMPRODUCT($J$2:$J$501*EXACT($I$2:$I$501,I375)*($C$2:$C$501&gt;C375))=0,1,0),0)</f>
        <v>0</v>
      </c>
      <c r="L375">
        <f>IF(K375=1,IF(EXACT(F375,"posted"),IF(E375&lt;=Control!$B$2,1,0),0),0)</f>
        <v>0</v>
      </c>
      <c r="M375">
        <f>IF(A375="",0,SUMPRODUCT(EXACT(Rates!$A$2:$A$4,G375)*Rates!$B$2:$B$4))</f>
        <v>0</v>
      </c>
      <c r="N375">
        <f>IF(L375=1,ROUND(ROUND(H375*M375*100,6),0),0)</f>
        <v>0</v>
      </c>
    </row>
    <row r="376">
      <c r="I376" t="str">
        <f>IF(A376="","",LEN(A376)&amp;"|"&amp;A376&amp;B376)</f>
        <v/>
      </c>
      <c r="J376">
        <f>IF(A376="",0,IF(D376&lt;=Control!$B$2,1,0))</f>
        <v>0</v>
      </c>
      <c r="K376">
        <f>IF(J376=1,IF(SUMPRODUCT($J$2:$J$501*EXACT($I$2:$I$501,I376)*($C$2:$C$501&gt;C376))=0,1,0),0)</f>
        <v>0</v>
      </c>
      <c r="L376">
        <f>IF(K376=1,IF(EXACT(F376,"posted"),IF(E376&lt;=Control!$B$2,1,0),0),0)</f>
        <v>0</v>
      </c>
      <c r="M376">
        <f>IF(A376="",0,SUMPRODUCT(EXACT(Rates!$A$2:$A$4,G376)*Rates!$B$2:$B$4))</f>
        <v>0</v>
      </c>
      <c r="N376">
        <f>IF(L376=1,ROUND(ROUND(H376*M376*100,6),0),0)</f>
        <v>0</v>
      </c>
    </row>
    <row r="377">
      <c r="I377" t="str">
        <f>IF(A377="","",LEN(A377)&amp;"|"&amp;A377&amp;B377)</f>
        <v/>
      </c>
      <c r="J377">
        <f>IF(A377="",0,IF(D377&lt;=Control!$B$2,1,0))</f>
        <v>0</v>
      </c>
      <c r="K377">
        <f>IF(J377=1,IF(SUMPRODUCT($J$2:$J$501*EXACT($I$2:$I$501,I377)*($C$2:$C$501&gt;C377))=0,1,0),0)</f>
        <v>0</v>
      </c>
      <c r="L377">
        <f>IF(K377=1,IF(EXACT(F377,"posted"),IF(E377&lt;=Control!$B$2,1,0),0),0)</f>
        <v>0</v>
      </c>
      <c r="M377">
        <f>IF(A377="",0,SUMPRODUCT(EXACT(Rates!$A$2:$A$4,G377)*Rates!$B$2:$B$4))</f>
        <v>0</v>
      </c>
      <c r="N377">
        <f>IF(L377=1,ROUND(ROUND(H377*M377*100,6),0),0)</f>
        <v>0</v>
      </c>
    </row>
    <row r="378">
      <c r="I378" t="str">
        <f>IF(A378="","",LEN(A378)&amp;"|"&amp;A378&amp;B378)</f>
        <v/>
      </c>
      <c r="J378">
        <f>IF(A378="",0,IF(D378&lt;=Control!$B$2,1,0))</f>
        <v>0</v>
      </c>
      <c r="K378">
        <f>IF(J378=1,IF(SUMPRODUCT($J$2:$J$501*EXACT($I$2:$I$501,I378)*($C$2:$C$501&gt;C378))=0,1,0),0)</f>
        <v>0</v>
      </c>
      <c r="L378">
        <f>IF(K378=1,IF(EXACT(F378,"posted"),IF(E378&lt;=Control!$B$2,1,0),0),0)</f>
        <v>0</v>
      </c>
      <c r="M378">
        <f>IF(A378="",0,SUMPRODUCT(EXACT(Rates!$A$2:$A$4,G378)*Rates!$B$2:$B$4))</f>
        <v>0</v>
      </c>
      <c r="N378">
        <f>IF(L378=1,ROUND(ROUND(H378*M378*100,6),0),0)</f>
        <v>0</v>
      </c>
    </row>
    <row r="379">
      <c r="I379" t="str">
        <f>IF(A379="","",LEN(A379)&amp;"|"&amp;A379&amp;B379)</f>
        <v/>
      </c>
      <c r="J379">
        <f>IF(A379="",0,IF(D379&lt;=Control!$B$2,1,0))</f>
        <v>0</v>
      </c>
      <c r="K379">
        <f>IF(J379=1,IF(SUMPRODUCT($J$2:$J$501*EXACT($I$2:$I$501,I379)*($C$2:$C$501&gt;C379))=0,1,0),0)</f>
        <v>0</v>
      </c>
      <c r="L379">
        <f>IF(K379=1,IF(EXACT(F379,"posted"),IF(E379&lt;=Control!$B$2,1,0),0),0)</f>
        <v>0</v>
      </c>
      <c r="M379">
        <f>IF(A379="",0,SUMPRODUCT(EXACT(Rates!$A$2:$A$4,G379)*Rates!$B$2:$B$4))</f>
        <v>0</v>
      </c>
      <c r="N379">
        <f>IF(L379=1,ROUND(ROUND(H379*M379*100,6),0),0)</f>
        <v>0</v>
      </c>
    </row>
    <row r="380">
      <c r="I380" t="str">
        <f>IF(A380="","",LEN(A380)&amp;"|"&amp;A380&amp;B380)</f>
        <v/>
      </c>
      <c r="J380">
        <f>IF(A380="",0,IF(D380&lt;=Control!$B$2,1,0))</f>
        <v>0</v>
      </c>
      <c r="K380">
        <f>IF(J380=1,IF(SUMPRODUCT($J$2:$J$501*EXACT($I$2:$I$501,I380)*($C$2:$C$501&gt;C380))=0,1,0),0)</f>
        <v>0</v>
      </c>
      <c r="L380">
        <f>IF(K380=1,IF(EXACT(F380,"posted"),IF(E380&lt;=Control!$B$2,1,0),0),0)</f>
        <v>0</v>
      </c>
      <c r="M380">
        <f>IF(A380="",0,SUMPRODUCT(EXACT(Rates!$A$2:$A$4,G380)*Rates!$B$2:$B$4))</f>
        <v>0</v>
      </c>
      <c r="N380">
        <f>IF(L380=1,ROUND(ROUND(H380*M380*100,6),0),0)</f>
        <v>0</v>
      </c>
    </row>
    <row r="381">
      <c r="I381" t="str">
        <f>IF(A381="","",LEN(A381)&amp;"|"&amp;A381&amp;B381)</f>
        <v/>
      </c>
      <c r="J381">
        <f>IF(A381="",0,IF(D381&lt;=Control!$B$2,1,0))</f>
        <v>0</v>
      </c>
      <c r="K381">
        <f>IF(J381=1,IF(SUMPRODUCT($J$2:$J$501*EXACT($I$2:$I$501,I381)*($C$2:$C$501&gt;C381))=0,1,0),0)</f>
        <v>0</v>
      </c>
      <c r="L381">
        <f>IF(K381=1,IF(EXACT(F381,"posted"),IF(E381&lt;=Control!$B$2,1,0),0),0)</f>
        <v>0</v>
      </c>
      <c r="M381">
        <f>IF(A381="",0,SUMPRODUCT(EXACT(Rates!$A$2:$A$4,G381)*Rates!$B$2:$B$4))</f>
        <v>0</v>
      </c>
      <c r="N381">
        <f>IF(L381=1,ROUND(ROUND(H381*M381*100,6),0),0)</f>
        <v>0</v>
      </c>
    </row>
    <row r="382">
      <c r="I382" t="str">
        <f>IF(A382="","",LEN(A382)&amp;"|"&amp;A382&amp;B382)</f>
        <v/>
      </c>
      <c r="J382">
        <f>IF(A382="",0,IF(D382&lt;=Control!$B$2,1,0))</f>
        <v>0</v>
      </c>
      <c r="K382">
        <f>IF(J382=1,IF(SUMPRODUCT($J$2:$J$501*EXACT($I$2:$I$501,I382)*($C$2:$C$501&gt;C382))=0,1,0),0)</f>
        <v>0</v>
      </c>
      <c r="L382">
        <f>IF(K382=1,IF(EXACT(F382,"posted"),IF(E382&lt;=Control!$B$2,1,0),0),0)</f>
        <v>0</v>
      </c>
      <c r="M382">
        <f>IF(A382="",0,SUMPRODUCT(EXACT(Rates!$A$2:$A$4,G382)*Rates!$B$2:$B$4))</f>
        <v>0</v>
      </c>
      <c r="N382">
        <f>IF(L382=1,ROUND(ROUND(H382*M382*100,6),0),0)</f>
        <v>0</v>
      </c>
    </row>
    <row r="383">
      <c r="I383" t="str">
        <f>IF(A383="","",LEN(A383)&amp;"|"&amp;A383&amp;B383)</f>
        <v/>
      </c>
      <c r="J383">
        <f>IF(A383="",0,IF(D383&lt;=Control!$B$2,1,0))</f>
        <v>0</v>
      </c>
      <c r="K383">
        <f>IF(J383=1,IF(SUMPRODUCT($J$2:$J$501*EXACT($I$2:$I$501,I383)*($C$2:$C$501&gt;C383))=0,1,0),0)</f>
        <v>0</v>
      </c>
      <c r="L383">
        <f>IF(K383=1,IF(EXACT(F383,"posted"),IF(E383&lt;=Control!$B$2,1,0),0),0)</f>
        <v>0</v>
      </c>
      <c r="M383">
        <f>IF(A383="",0,SUMPRODUCT(EXACT(Rates!$A$2:$A$4,G383)*Rates!$B$2:$B$4))</f>
        <v>0</v>
      </c>
      <c r="N383">
        <f>IF(L383=1,ROUND(ROUND(H383*M383*100,6),0),0)</f>
        <v>0</v>
      </c>
    </row>
    <row r="384">
      <c r="I384" t="str">
        <f>IF(A384="","",LEN(A384)&amp;"|"&amp;A384&amp;B384)</f>
        <v/>
      </c>
      <c r="J384">
        <f>IF(A384="",0,IF(D384&lt;=Control!$B$2,1,0))</f>
        <v>0</v>
      </c>
      <c r="K384">
        <f>IF(J384=1,IF(SUMPRODUCT($J$2:$J$501*EXACT($I$2:$I$501,I384)*($C$2:$C$501&gt;C384))=0,1,0),0)</f>
        <v>0</v>
      </c>
      <c r="L384">
        <f>IF(K384=1,IF(EXACT(F384,"posted"),IF(E384&lt;=Control!$B$2,1,0),0),0)</f>
        <v>0</v>
      </c>
      <c r="M384">
        <f>IF(A384="",0,SUMPRODUCT(EXACT(Rates!$A$2:$A$4,G384)*Rates!$B$2:$B$4))</f>
        <v>0</v>
      </c>
      <c r="N384">
        <f>IF(L384=1,ROUND(ROUND(H384*M384*100,6),0),0)</f>
        <v>0</v>
      </c>
    </row>
    <row r="385">
      <c r="I385" t="str">
        <f>IF(A385="","",LEN(A385)&amp;"|"&amp;A385&amp;B385)</f>
        <v/>
      </c>
      <c r="J385">
        <f>IF(A385="",0,IF(D385&lt;=Control!$B$2,1,0))</f>
        <v>0</v>
      </c>
      <c r="K385">
        <f>IF(J385=1,IF(SUMPRODUCT($J$2:$J$501*EXACT($I$2:$I$501,I385)*($C$2:$C$501&gt;C385))=0,1,0),0)</f>
        <v>0</v>
      </c>
      <c r="L385">
        <f>IF(K385=1,IF(EXACT(F385,"posted"),IF(E385&lt;=Control!$B$2,1,0),0),0)</f>
        <v>0</v>
      </c>
      <c r="M385">
        <f>IF(A385="",0,SUMPRODUCT(EXACT(Rates!$A$2:$A$4,G385)*Rates!$B$2:$B$4))</f>
        <v>0</v>
      </c>
      <c r="N385">
        <f>IF(L385=1,ROUND(ROUND(H385*M385*100,6),0),0)</f>
        <v>0</v>
      </c>
    </row>
    <row r="386">
      <c r="I386" t="str">
        <f>IF(A386="","",LEN(A386)&amp;"|"&amp;A386&amp;B386)</f>
        <v/>
      </c>
      <c r="J386">
        <f>IF(A386="",0,IF(D386&lt;=Control!$B$2,1,0))</f>
        <v>0</v>
      </c>
      <c r="K386">
        <f>IF(J386=1,IF(SUMPRODUCT($J$2:$J$501*EXACT($I$2:$I$501,I386)*($C$2:$C$501&gt;C386))=0,1,0),0)</f>
        <v>0</v>
      </c>
      <c r="L386">
        <f>IF(K386=1,IF(EXACT(F386,"posted"),IF(E386&lt;=Control!$B$2,1,0),0),0)</f>
        <v>0</v>
      </c>
      <c r="M386">
        <f>IF(A386="",0,SUMPRODUCT(EXACT(Rates!$A$2:$A$4,G386)*Rates!$B$2:$B$4))</f>
        <v>0</v>
      </c>
      <c r="N386">
        <f>IF(L386=1,ROUND(ROUND(H386*M386*100,6),0),0)</f>
        <v>0</v>
      </c>
    </row>
    <row r="387">
      <c r="I387" t="str">
        <f>IF(A387="","",LEN(A387)&amp;"|"&amp;A387&amp;B387)</f>
        <v/>
      </c>
      <c r="J387">
        <f>IF(A387="",0,IF(D387&lt;=Control!$B$2,1,0))</f>
        <v>0</v>
      </c>
      <c r="K387">
        <f>IF(J387=1,IF(SUMPRODUCT($J$2:$J$501*EXACT($I$2:$I$501,I387)*($C$2:$C$501&gt;C387))=0,1,0),0)</f>
        <v>0</v>
      </c>
      <c r="L387">
        <f>IF(K387=1,IF(EXACT(F387,"posted"),IF(E387&lt;=Control!$B$2,1,0),0),0)</f>
        <v>0</v>
      </c>
      <c r="M387">
        <f>IF(A387="",0,SUMPRODUCT(EXACT(Rates!$A$2:$A$4,G387)*Rates!$B$2:$B$4))</f>
        <v>0</v>
      </c>
      <c r="N387">
        <f>IF(L387=1,ROUND(ROUND(H387*M387*100,6),0),0)</f>
        <v>0</v>
      </c>
    </row>
    <row r="388">
      <c r="I388" t="str">
        <f>IF(A388="","",LEN(A388)&amp;"|"&amp;A388&amp;B388)</f>
        <v/>
      </c>
      <c r="J388">
        <f>IF(A388="",0,IF(D388&lt;=Control!$B$2,1,0))</f>
        <v>0</v>
      </c>
      <c r="K388">
        <f>IF(J388=1,IF(SUMPRODUCT($J$2:$J$501*EXACT($I$2:$I$501,I388)*($C$2:$C$501&gt;C388))=0,1,0),0)</f>
        <v>0</v>
      </c>
      <c r="L388">
        <f>IF(K388=1,IF(EXACT(F388,"posted"),IF(E388&lt;=Control!$B$2,1,0),0),0)</f>
        <v>0</v>
      </c>
      <c r="M388">
        <f>IF(A388="",0,SUMPRODUCT(EXACT(Rates!$A$2:$A$4,G388)*Rates!$B$2:$B$4))</f>
        <v>0</v>
      </c>
      <c r="N388">
        <f>IF(L388=1,ROUND(ROUND(H388*M388*100,6),0),0)</f>
        <v>0</v>
      </c>
    </row>
    <row r="389">
      <c r="I389" t="str">
        <f>IF(A389="","",LEN(A389)&amp;"|"&amp;A389&amp;B389)</f>
        <v/>
      </c>
      <c r="J389">
        <f>IF(A389="",0,IF(D389&lt;=Control!$B$2,1,0))</f>
        <v>0</v>
      </c>
      <c r="K389">
        <f>IF(J389=1,IF(SUMPRODUCT($J$2:$J$501*EXACT($I$2:$I$501,I389)*($C$2:$C$501&gt;C389))=0,1,0),0)</f>
        <v>0</v>
      </c>
      <c r="L389">
        <f>IF(K389=1,IF(EXACT(F389,"posted"),IF(E389&lt;=Control!$B$2,1,0),0),0)</f>
        <v>0</v>
      </c>
      <c r="M389">
        <f>IF(A389="",0,SUMPRODUCT(EXACT(Rates!$A$2:$A$4,G389)*Rates!$B$2:$B$4))</f>
        <v>0</v>
      </c>
      <c r="N389">
        <f>IF(L389=1,ROUND(ROUND(H389*M389*100,6),0),0)</f>
        <v>0</v>
      </c>
    </row>
    <row r="390">
      <c r="I390" t="str">
        <f>IF(A390="","",LEN(A390)&amp;"|"&amp;A390&amp;B390)</f>
        <v/>
      </c>
      <c r="J390">
        <f>IF(A390="",0,IF(D390&lt;=Control!$B$2,1,0))</f>
        <v>0</v>
      </c>
      <c r="K390">
        <f>IF(J390=1,IF(SUMPRODUCT($J$2:$J$501*EXACT($I$2:$I$501,I390)*($C$2:$C$501&gt;C390))=0,1,0),0)</f>
        <v>0</v>
      </c>
      <c r="L390">
        <f>IF(K390=1,IF(EXACT(F390,"posted"),IF(E390&lt;=Control!$B$2,1,0),0),0)</f>
        <v>0</v>
      </c>
      <c r="M390">
        <f>IF(A390="",0,SUMPRODUCT(EXACT(Rates!$A$2:$A$4,G390)*Rates!$B$2:$B$4))</f>
        <v>0</v>
      </c>
      <c r="N390">
        <f>IF(L390=1,ROUND(ROUND(H390*M390*100,6),0),0)</f>
        <v>0</v>
      </c>
    </row>
    <row r="391">
      <c r="I391" t="str">
        <f>IF(A391="","",LEN(A391)&amp;"|"&amp;A391&amp;B391)</f>
        <v/>
      </c>
      <c r="J391">
        <f>IF(A391="",0,IF(D391&lt;=Control!$B$2,1,0))</f>
        <v>0</v>
      </c>
      <c r="K391">
        <f>IF(J391=1,IF(SUMPRODUCT($J$2:$J$501*EXACT($I$2:$I$501,I391)*($C$2:$C$501&gt;C391))=0,1,0),0)</f>
        <v>0</v>
      </c>
      <c r="L391">
        <f>IF(K391=1,IF(EXACT(F391,"posted"),IF(E391&lt;=Control!$B$2,1,0),0),0)</f>
        <v>0</v>
      </c>
      <c r="M391">
        <f>IF(A391="",0,SUMPRODUCT(EXACT(Rates!$A$2:$A$4,G391)*Rates!$B$2:$B$4))</f>
        <v>0</v>
      </c>
      <c r="N391">
        <f>IF(L391=1,ROUND(ROUND(H391*M391*100,6),0),0)</f>
        <v>0</v>
      </c>
    </row>
    <row r="392">
      <c r="I392" t="str">
        <f>IF(A392="","",LEN(A392)&amp;"|"&amp;A392&amp;B392)</f>
        <v/>
      </c>
      <c r="J392">
        <f>IF(A392="",0,IF(D392&lt;=Control!$B$2,1,0))</f>
        <v>0</v>
      </c>
      <c r="K392">
        <f>IF(J392=1,IF(SUMPRODUCT($J$2:$J$501*EXACT($I$2:$I$501,I392)*($C$2:$C$501&gt;C392))=0,1,0),0)</f>
        <v>0</v>
      </c>
      <c r="L392">
        <f>IF(K392=1,IF(EXACT(F392,"posted"),IF(E392&lt;=Control!$B$2,1,0),0),0)</f>
        <v>0</v>
      </c>
      <c r="M392">
        <f>IF(A392="",0,SUMPRODUCT(EXACT(Rates!$A$2:$A$4,G392)*Rates!$B$2:$B$4))</f>
        <v>0</v>
      </c>
      <c r="N392">
        <f>IF(L392=1,ROUND(ROUND(H392*M392*100,6),0),0)</f>
        <v>0</v>
      </c>
    </row>
    <row r="393">
      <c r="I393" t="str">
        <f>IF(A393="","",LEN(A393)&amp;"|"&amp;A393&amp;B393)</f>
        <v/>
      </c>
      <c r="J393">
        <f>IF(A393="",0,IF(D393&lt;=Control!$B$2,1,0))</f>
        <v>0</v>
      </c>
      <c r="K393">
        <f>IF(J393=1,IF(SUMPRODUCT($J$2:$J$501*EXACT($I$2:$I$501,I393)*($C$2:$C$501&gt;C393))=0,1,0),0)</f>
        <v>0</v>
      </c>
      <c r="L393">
        <f>IF(K393=1,IF(EXACT(F393,"posted"),IF(E393&lt;=Control!$B$2,1,0),0),0)</f>
        <v>0</v>
      </c>
      <c r="M393">
        <f>IF(A393="",0,SUMPRODUCT(EXACT(Rates!$A$2:$A$4,G393)*Rates!$B$2:$B$4))</f>
        <v>0</v>
      </c>
      <c r="N393">
        <f>IF(L393=1,ROUND(ROUND(H393*M393*100,6),0),0)</f>
        <v>0</v>
      </c>
    </row>
    <row r="394">
      <c r="I394" t="str">
        <f>IF(A394="","",LEN(A394)&amp;"|"&amp;A394&amp;B394)</f>
        <v/>
      </c>
      <c r="J394">
        <f>IF(A394="",0,IF(D394&lt;=Control!$B$2,1,0))</f>
        <v>0</v>
      </c>
      <c r="K394">
        <f>IF(J394=1,IF(SUMPRODUCT($J$2:$J$501*EXACT($I$2:$I$501,I394)*($C$2:$C$501&gt;C394))=0,1,0),0)</f>
        <v>0</v>
      </c>
      <c r="L394">
        <f>IF(K394=1,IF(EXACT(F394,"posted"),IF(E394&lt;=Control!$B$2,1,0),0),0)</f>
        <v>0</v>
      </c>
      <c r="M394">
        <f>IF(A394="",0,SUMPRODUCT(EXACT(Rates!$A$2:$A$4,G394)*Rates!$B$2:$B$4))</f>
        <v>0</v>
      </c>
      <c r="N394">
        <f>IF(L394=1,ROUND(ROUND(H394*M394*100,6),0),0)</f>
        <v>0</v>
      </c>
    </row>
    <row r="395">
      <c r="I395" t="str">
        <f>IF(A395="","",LEN(A395)&amp;"|"&amp;A395&amp;B395)</f>
        <v/>
      </c>
      <c r="J395">
        <f>IF(A395="",0,IF(D395&lt;=Control!$B$2,1,0))</f>
        <v>0</v>
      </c>
      <c r="K395">
        <f>IF(J395=1,IF(SUMPRODUCT($J$2:$J$501*EXACT($I$2:$I$501,I395)*($C$2:$C$501&gt;C395))=0,1,0),0)</f>
        <v>0</v>
      </c>
      <c r="L395">
        <f>IF(K395=1,IF(EXACT(F395,"posted"),IF(E395&lt;=Control!$B$2,1,0),0),0)</f>
        <v>0</v>
      </c>
      <c r="M395">
        <f>IF(A395="",0,SUMPRODUCT(EXACT(Rates!$A$2:$A$4,G395)*Rates!$B$2:$B$4))</f>
        <v>0</v>
      </c>
      <c r="N395">
        <f>IF(L395=1,ROUND(ROUND(H395*M395*100,6),0),0)</f>
        <v>0</v>
      </c>
    </row>
    <row r="396">
      <c r="I396" t="str">
        <f>IF(A396="","",LEN(A396)&amp;"|"&amp;A396&amp;B396)</f>
        <v/>
      </c>
      <c r="J396">
        <f>IF(A396="",0,IF(D396&lt;=Control!$B$2,1,0))</f>
        <v>0</v>
      </c>
      <c r="K396">
        <f>IF(J396=1,IF(SUMPRODUCT($J$2:$J$501*EXACT($I$2:$I$501,I396)*($C$2:$C$501&gt;C396))=0,1,0),0)</f>
        <v>0</v>
      </c>
      <c r="L396">
        <f>IF(K396=1,IF(EXACT(F396,"posted"),IF(E396&lt;=Control!$B$2,1,0),0),0)</f>
        <v>0</v>
      </c>
      <c r="M396">
        <f>IF(A396="",0,SUMPRODUCT(EXACT(Rates!$A$2:$A$4,G396)*Rates!$B$2:$B$4))</f>
        <v>0</v>
      </c>
      <c r="N396">
        <f>IF(L396=1,ROUND(ROUND(H396*M396*100,6),0),0)</f>
        <v>0</v>
      </c>
    </row>
    <row r="397">
      <c r="I397" t="str">
        <f>IF(A397="","",LEN(A397)&amp;"|"&amp;A397&amp;B397)</f>
        <v/>
      </c>
      <c r="J397">
        <f>IF(A397="",0,IF(D397&lt;=Control!$B$2,1,0))</f>
        <v>0</v>
      </c>
      <c r="K397">
        <f>IF(J397=1,IF(SUMPRODUCT($J$2:$J$501*EXACT($I$2:$I$501,I397)*($C$2:$C$501&gt;C397))=0,1,0),0)</f>
        <v>0</v>
      </c>
      <c r="L397">
        <f>IF(K397=1,IF(EXACT(F397,"posted"),IF(E397&lt;=Control!$B$2,1,0),0),0)</f>
        <v>0</v>
      </c>
      <c r="M397">
        <f>IF(A397="",0,SUMPRODUCT(EXACT(Rates!$A$2:$A$4,G397)*Rates!$B$2:$B$4))</f>
        <v>0</v>
      </c>
      <c r="N397">
        <f>IF(L397=1,ROUND(ROUND(H397*M397*100,6),0),0)</f>
        <v>0</v>
      </c>
    </row>
    <row r="398">
      <c r="I398" t="str">
        <f>IF(A398="","",LEN(A398)&amp;"|"&amp;A398&amp;B398)</f>
        <v/>
      </c>
      <c r="J398">
        <f>IF(A398="",0,IF(D398&lt;=Control!$B$2,1,0))</f>
        <v>0</v>
      </c>
      <c r="K398">
        <f>IF(J398=1,IF(SUMPRODUCT($J$2:$J$501*EXACT($I$2:$I$501,I398)*($C$2:$C$501&gt;C398))=0,1,0),0)</f>
        <v>0</v>
      </c>
      <c r="L398">
        <f>IF(K398=1,IF(EXACT(F398,"posted"),IF(E398&lt;=Control!$B$2,1,0),0),0)</f>
        <v>0</v>
      </c>
      <c r="M398">
        <f>IF(A398="",0,SUMPRODUCT(EXACT(Rates!$A$2:$A$4,G398)*Rates!$B$2:$B$4))</f>
        <v>0</v>
      </c>
      <c r="N398">
        <f>IF(L398=1,ROUND(ROUND(H398*M398*100,6),0),0)</f>
        <v>0</v>
      </c>
    </row>
    <row r="399">
      <c r="I399" t="str">
        <f>IF(A399="","",LEN(A399)&amp;"|"&amp;A399&amp;B399)</f>
        <v/>
      </c>
      <c r="J399">
        <f>IF(A399="",0,IF(D399&lt;=Control!$B$2,1,0))</f>
        <v>0</v>
      </c>
      <c r="K399">
        <f>IF(J399=1,IF(SUMPRODUCT($J$2:$J$501*EXACT($I$2:$I$501,I399)*($C$2:$C$501&gt;C399))=0,1,0),0)</f>
        <v>0</v>
      </c>
      <c r="L399">
        <f>IF(K399=1,IF(EXACT(F399,"posted"),IF(E399&lt;=Control!$B$2,1,0),0),0)</f>
        <v>0</v>
      </c>
      <c r="M399">
        <f>IF(A399="",0,SUMPRODUCT(EXACT(Rates!$A$2:$A$4,G399)*Rates!$B$2:$B$4))</f>
        <v>0</v>
      </c>
      <c r="N399">
        <f>IF(L399=1,ROUND(ROUND(H399*M399*100,6),0),0)</f>
        <v>0</v>
      </c>
    </row>
    <row r="400">
      <c r="I400" t="str">
        <f>IF(A400="","",LEN(A400)&amp;"|"&amp;A400&amp;B400)</f>
        <v/>
      </c>
      <c r="J400">
        <f>IF(A400="",0,IF(D400&lt;=Control!$B$2,1,0))</f>
        <v>0</v>
      </c>
      <c r="K400">
        <f>IF(J400=1,IF(SUMPRODUCT($J$2:$J$501*EXACT($I$2:$I$501,I400)*($C$2:$C$501&gt;C400))=0,1,0),0)</f>
        <v>0</v>
      </c>
      <c r="L400">
        <f>IF(K400=1,IF(EXACT(F400,"posted"),IF(E400&lt;=Control!$B$2,1,0),0),0)</f>
        <v>0</v>
      </c>
      <c r="M400">
        <f>IF(A400="",0,SUMPRODUCT(EXACT(Rates!$A$2:$A$4,G400)*Rates!$B$2:$B$4))</f>
        <v>0</v>
      </c>
      <c r="N400">
        <f>IF(L400=1,ROUND(ROUND(H400*M400*100,6),0),0)</f>
        <v>0</v>
      </c>
    </row>
    <row r="401">
      <c r="I401" t="str">
        <f>IF(A401="","",LEN(A401)&amp;"|"&amp;A401&amp;B401)</f>
        <v/>
      </c>
      <c r="J401">
        <f>IF(A401="",0,IF(D401&lt;=Control!$B$2,1,0))</f>
        <v>0</v>
      </c>
      <c r="K401">
        <f>IF(J401=1,IF(SUMPRODUCT($J$2:$J$501*EXACT($I$2:$I$501,I401)*($C$2:$C$501&gt;C401))=0,1,0),0)</f>
        <v>0</v>
      </c>
      <c r="L401">
        <f>IF(K401=1,IF(EXACT(F401,"posted"),IF(E401&lt;=Control!$B$2,1,0),0),0)</f>
        <v>0</v>
      </c>
      <c r="M401">
        <f>IF(A401="",0,SUMPRODUCT(EXACT(Rates!$A$2:$A$4,G401)*Rates!$B$2:$B$4))</f>
        <v>0</v>
      </c>
      <c r="N401">
        <f>IF(L401=1,ROUND(ROUND(H401*M401*100,6),0),0)</f>
        <v>0</v>
      </c>
    </row>
    <row r="402">
      <c r="I402" t="str">
        <f>IF(A402="","",LEN(A402)&amp;"|"&amp;A402&amp;B402)</f>
        <v/>
      </c>
      <c r="J402">
        <f>IF(A402="",0,IF(D402&lt;=Control!$B$2,1,0))</f>
        <v>0</v>
      </c>
      <c r="K402">
        <f>IF(J402=1,IF(SUMPRODUCT($J$2:$J$501*EXACT($I$2:$I$501,I402)*($C$2:$C$501&gt;C402))=0,1,0),0)</f>
        <v>0</v>
      </c>
      <c r="L402">
        <f>IF(K402=1,IF(EXACT(F402,"posted"),IF(E402&lt;=Control!$B$2,1,0),0),0)</f>
        <v>0</v>
      </c>
      <c r="M402">
        <f>IF(A402="",0,SUMPRODUCT(EXACT(Rates!$A$2:$A$4,G402)*Rates!$B$2:$B$4))</f>
        <v>0</v>
      </c>
      <c r="N402">
        <f>IF(L402=1,ROUND(ROUND(H402*M402*100,6),0),0)</f>
        <v>0</v>
      </c>
    </row>
    <row r="403">
      <c r="I403" t="str">
        <f>IF(A403="","",LEN(A403)&amp;"|"&amp;A403&amp;B403)</f>
        <v/>
      </c>
      <c r="J403">
        <f>IF(A403="",0,IF(D403&lt;=Control!$B$2,1,0))</f>
        <v>0</v>
      </c>
      <c r="K403">
        <f>IF(J403=1,IF(SUMPRODUCT($J$2:$J$501*EXACT($I$2:$I$501,I403)*($C$2:$C$501&gt;C403))=0,1,0),0)</f>
        <v>0</v>
      </c>
      <c r="L403">
        <f>IF(K403=1,IF(EXACT(F403,"posted"),IF(E403&lt;=Control!$B$2,1,0),0),0)</f>
        <v>0</v>
      </c>
      <c r="M403">
        <f>IF(A403="",0,SUMPRODUCT(EXACT(Rates!$A$2:$A$4,G403)*Rates!$B$2:$B$4))</f>
        <v>0</v>
      </c>
      <c r="N403">
        <f>IF(L403=1,ROUND(ROUND(H403*M403*100,6),0),0)</f>
        <v>0</v>
      </c>
    </row>
    <row r="404">
      <c r="I404" t="str">
        <f>IF(A404="","",LEN(A404)&amp;"|"&amp;A404&amp;B404)</f>
        <v/>
      </c>
      <c r="J404">
        <f>IF(A404="",0,IF(D404&lt;=Control!$B$2,1,0))</f>
        <v>0</v>
      </c>
      <c r="K404">
        <f>IF(J404=1,IF(SUMPRODUCT($J$2:$J$501*EXACT($I$2:$I$501,I404)*($C$2:$C$501&gt;C404))=0,1,0),0)</f>
        <v>0</v>
      </c>
      <c r="L404">
        <f>IF(K404=1,IF(EXACT(F404,"posted"),IF(E404&lt;=Control!$B$2,1,0),0),0)</f>
        <v>0</v>
      </c>
      <c r="M404">
        <f>IF(A404="",0,SUMPRODUCT(EXACT(Rates!$A$2:$A$4,G404)*Rates!$B$2:$B$4))</f>
        <v>0</v>
      </c>
      <c r="N404">
        <f>IF(L404=1,ROUND(ROUND(H404*M404*100,6),0),0)</f>
        <v>0</v>
      </c>
    </row>
    <row r="405">
      <c r="I405" t="str">
        <f>IF(A405="","",LEN(A405)&amp;"|"&amp;A405&amp;B405)</f>
        <v/>
      </c>
      <c r="J405">
        <f>IF(A405="",0,IF(D405&lt;=Control!$B$2,1,0))</f>
        <v>0</v>
      </c>
      <c r="K405">
        <f>IF(J405=1,IF(SUMPRODUCT($J$2:$J$501*EXACT($I$2:$I$501,I405)*($C$2:$C$501&gt;C405))=0,1,0),0)</f>
        <v>0</v>
      </c>
      <c r="L405">
        <f>IF(K405=1,IF(EXACT(F405,"posted"),IF(E405&lt;=Control!$B$2,1,0),0),0)</f>
        <v>0</v>
      </c>
      <c r="M405">
        <f>IF(A405="",0,SUMPRODUCT(EXACT(Rates!$A$2:$A$4,G405)*Rates!$B$2:$B$4))</f>
        <v>0</v>
      </c>
      <c r="N405">
        <f>IF(L405=1,ROUND(ROUND(H405*M405*100,6),0),0)</f>
        <v>0</v>
      </c>
    </row>
    <row r="406">
      <c r="I406" t="str">
        <f>IF(A406="","",LEN(A406)&amp;"|"&amp;A406&amp;B406)</f>
        <v/>
      </c>
      <c r="J406">
        <f>IF(A406="",0,IF(D406&lt;=Control!$B$2,1,0))</f>
        <v>0</v>
      </c>
      <c r="K406">
        <f>IF(J406=1,IF(SUMPRODUCT($J$2:$J$501*EXACT($I$2:$I$501,I406)*($C$2:$C$501&gt;C406))=0,1,0),0)</f>
        <v>0</v>
      </c>
      <c r="L406">
        <f>IF(K406=1,IF(EXACT(F406,"posted"),IF(E406&lt;=Control!$B$2,1,0),0),0)</f>
        <v>0</v>
      </c>
      <c r="M406">
        <f>IF(A406="",0,SUMPRODUCT(EXACT(Rates!$A$2:$A$4,G406)*Rates!$B$2:$B$4))</f>
        <v>0</v>
      </c>
      <c r="N406">
        <f>IF(L406=1,ROUND(ROUND(H406*M406*100,6),0),0)</f>
        <v>0</v>
      </c>
    </row>
    <row r="407">
      <c r="I407" t="str">
        <f>IF(A407="","",LEN(A407)&amp;"|"&amp;A407&amp;B407)</f>
        <v/>
      </c>
      <c r="J407">
        <f>IF(A407="",0,IF(D407&lt;=Control!$B$2,1,0))</f>
        <v>0</v>
      </c>
      <c r="K407">
        <f>IF(J407=1,IF(SUMPRODUCT($J$2:$J$501*EXACT($I$2:$I$501,I407)*($C$2:$C$501&gt;C407))=0,1,0),0)</f>
        <v>0</v>
      </c>
      <c r="L407">
        <f>IF(K407=1,IF(EXACT(F407,"posted"),IF(E407&lt;=Control!$B$2,1,0),0),0)</f>
        <v>0</v>
      </c>
      <c r="M407">
        <f>IF(A407="",0,SUMPRODUCT(EXACT(Rates!$A$2:$A$4,G407)*Rates!$B$2:$B$4))</f>
        <v>0</v>
      </c>
      <c r="N407">
        <f>IF(L407=1,ROUND(ROUND(H407*M407*100,6),0),0)</f>
        <v>0</v>
      </c>
    </row>
    <row r="408">
      <c r="I408" t="str">
        <f>IF(A408="","",LEN(A408)&amp;"|"&amp;A408&amp;B408)</f>
        <v/>
      </c>
      <c r="J408">
        <f>IF(A408="",0,IF(D408&lt;=Control!$B$2,1,0))</f>
        <v>0</v>
      </c>
      <c r="K408">
        <f>IF(J408=1,IF(SUMPRODUCT($J$2:$J$501*EXACT($I$2:$I$501,I408)*($C$2:$C$501&gt;C408))=0,1,0),0)</f>
        <v>0</v>
      </c>
      <c r="L408">
        <f>IF(K408=1,IF(EXACT(F408,"posted"),IF(E408&lt;=Control!$B$2,1,0),0),0)</f>
        <v>0</v>
      </c>
      <c r="M408">
        <f>IF(A408="",0,SUMPRODUCT(EXACT(Rates!$A$2:$A$4,G408)*Rates!$B$2:$B$4))</f>
        <v>0</v>
      </c>
      <c r="N408">
        <f>IF(L408=1,ROUND(ROUND(H408*M408*100,6),0),0)</f>
        <v>0</v>
      </c>
    </row>
    <row r="409">
      <c r="I409" t="str">
        <f>IF(A409="","",LEN(A409)&amp;"|"&amp;A409&amp;B409)</f>
        <v/>
      </c>
      <c r="J409">
        <f>IF(A409="",0,IF(D409&lt;=Control!$B$2,1,0))</f>
        <v>0</v>
      </c>
      <c r="K409">
        <f>IF(J409=1,IF(SUMPRODUCT($J$2:$J$501*EXACT($I$2:$I$501,I409)*($C$2:$C$501&gt;C409))=0,1,0),0)</f>
        <v>0</v>
      </c>
      <c r="L409">
        <f>IF(K409=1,IF(EXACT(F409,"posted"),IF(E409&lt;=Control!$B$2,1,0),0),0)</f>
        <v>0</v>
      </c>
      <c r="M409">
        <f>IF(A409="",0,SUMPRODUCT(EXACT(Rates!$A$2:$A$4,G409)*Rates!$B$2:$B$4))</f>
        <v>0</v>
      </c>
      <c r="N409">
        <f>IF(L409=1,ROUND(ROUND(H409*M409*100,6),0),0)</f>
        <v>0</v>
      </c>
    </row>
    <row r="410">
      <c r="I410" t="str">
        <f>IF(A410="","",LEN(A410)&amp;"|"&amp;A410&amp;B410)</f>
        <v/>
      </c>
      <c r="J410">
        <f>IF(A410="",0,IF(D410&lt;=Control!$B$2,1,0))</f>
        <v>0</v>
      </c>
      <c r="K410">
        <f>IF(J410=1,IF(SUMPRODUCT($J$2:$J$501*EXACT($I$2:$I$501,I410)*($C$2:$C$501&gt;C410))=0,1,0),0)</f>
        <v>0</v>
      </c>
      <c r="L410">
        <f>IF(K410=1,IF(EXACT(F410,"posted"),IF(E410&lt;=Control!$B$2,1,0),0),0)</f>
        <v>0</v>
      </c>
      <c r="M410">
        <f>IF(A410="",0,SUMPRODUCT(EXACT(Rates!$A$2:$A$4,G410)*Rates!$B$2:$B$4))</f>
        <v>0</v>
      </c>
      <c r="N410">
        <f>IF(L410=1,ROUND(ROUND(H410*M410*100,6),0),0)</f>
        <v>0</v>
      </c>
    </row>
    <row r="411">
      <c r="I411" t="str">
        <f>IF(A411="","",LEN(A411)&amp;"|"&amp;A411&amp;B411)</f>
        <v/>
      </c>
      <c r="J411">
        <f>IF(A411="",0,IF(D411&lt;=Control!$B$2,1,0))</f>
        <v>0</v>
      </c>
      <c r="K411">
        <f>IF(J411=1,IF(SUMPRODUCT($J$2:$J$501*EXACT($I$2:$I$501,I411)*($C$2:$C$501&gt;C411))=0,1,0),0)</f>
        <v>0</v>
      </c>
      <c r="L411">
        <f>IF(K411=1,IF(EXACT(F411,"posted"),IF(E411&lt;=Control!$B$2,1,0),0),0)</f>
        <v>0</v>
      </c>
      <c r="M411">
        <f>IF(A411="",0,SUMPRODUCT(EXACT(Rates!$A$2:$A$4,G411)*Rates!$B$2:$B$4))</f>
        <v>0</v>
      </c>
      <c r="N411">
        <f>IF(L411=1,ROUND(ROUND(H411*M411*100,6),0),0)</f>
        <v>0</v>
      </c>
    </row>
    <row r="412">
      <c r="I412" t="str">
        <f>IF(A412="","",LEN(A412)&amp;"|"&amp;A412&amp;B412)</f>
        <v/>
      </c>
      <c r="J412">
        <f>IF(A412="",0,IF(D412&lt;=Control!$B$2,1,0))</f>
        <v>0</v>
      </c>
      <c r="K412">
        <f>IF(J412=1,IF(SUMPRODUCT($J$2:$J$501*EXACT($I$2:$I$501,I412)*($C$2:$C$501&gt;C412))=0,1,0),0)</f>
        <v>0</v>
      </c>
      <c r="L412">
        <f>IF(K412=1,IF(EXACT(F412,"posted"),IF(E412&lt;=Control!$B$2,1,0),0),0)</f>
        <v>0</v>
      </c>
      <c r="M412">
        <f>IF(A412="",0,SUMPRODUCT(EXACT(Rates!$A$2:$A$4,G412)*Rates!$B$2:$B$4))</f>
        <v>0</v>
      </c>
      <c r="N412">
        <f>IF(L412=1,ROUND(ROUND(H412*M412*100,6),0),0)</f>
        <v>0</v>
      </c>
    </row>
    <row r="413">
      <c r="I413" t="str">
        <f>IF(A413="","",LEN(A413)&amp;"|"&amp;A413&amp;B413)</f>
        <v/>
      </c>
      <c r="J413">
        <f>IF(A413="",0,IF(D413&lt;=Control!$B$2,1,0))</f>
        <v>0</v>
      </c>
      <c r="K413">
        <f>IF(J413=1,IF(SUMPRODUCT($J$2:$J$501*EXACT($I$2:$I$501,I413)*($C$2:$C$501&gt;C413))=0,1,0),0)</f>
        <v>0</v>
      </c>
      <c r="L413">
        <f>IF(K413=1,IF(EXACT(F413,"posted"),IF(E413&lt;=Control!$B$2,1,0),0),0)</f>
        <v>0</v>
      </c>
      <c r="M413">
        <f>IF(A413="",0,SUMPRODUCT(EXACT(Rates!$A$2:$A$4,G413)*Rates!$B$2:$B$4))</f>
        <v>0</v>
      </c>
      <c r="N413">
        <f>IF(L413=1,ROUND(ROUND(H413*M413*100,6),0),0)</f>
        <v>0</v>
      </c>
    </row>
    <row r="414">
      <c r="I414" t="str">
        <f>IF(A414="","",LEN(A414)&amp;"|"&amp;A414&amp;B414)</f>
        <v/>
      </c>
      <c r="J414">
        <f>IF(A414="",0,IF(D414&lt;=Control!$B$2,1,0))</f>
        <v>0</v>
      </c>
      <c r="K414">
        <f>IF(J414=1,IF(SUMPRODUCT($J$2:$J$501*EXACT($I$2:$I$501,I414)*($C$2:$C$501&gt;C414))=0,1,0),0)</f>
        <v>0</v>
      </c>
      <c r="L414">
        <f>IF(K414=1,IF(EXACT(F414,"posted"),IF(E414&lt;=Control!$B$2,1,0),0),0)</f>
        <v>0</v>
      </c>
      <c r="M414">
        <f>IF(A414="",0,SUMPRODUCT(EXACT(Rates!$A$2:$A$4,G414)*Rates!$B$2:$B$4))</f>
        <v>0</v>
      </c>
      <c r="N414">
        <f>IF(L414=1,ROUND(ROUND(H414*M414*100,6),0),0)</f>
        <v>0</v>
      </c>
    </row>
    <row r="415">
      <c r="I415" t="str">
        <f>IF(A415="","",LEN(A415)&amp;"|"&amp;A415&amp;B415)</f>
        <v/>
      </c>
      <c r="J415">
        <f>IF(A415="",0,IF(D415&lt;=Control!$B$2,1,0))</f>
        <v>0</v>
      </c>
      <c r="K415">
        <f>IF(J415=1,IF(SUMPRODUCT($J$2:$J$501*EXACT($I$2:$I$501,I415)*($C$2:$C$501&gt;C415))=0,1,0),0)</f>
        <v>0</v>
      </c>
      <c r="L415">
        <f>IF(K415=1,IF(EXACT(F415,"posted"),IF(E415&lt;=Control!$B$2,1,0),0),0)</f>
        <v>0</v>
      </c>
      <c r="M415">
        <f>IF(A415="",0,SUMPRODUCT(EXACT(Rates!$A$2:$A$4,G415)*Rates!$B$2:$B$4))</f>
        <v>0</v>
      </c>
      <c r="N415">
        <f>IF(L415=1,ROUND(ROUND(H415*M415*100,6),0),0)</f>
        <v>0</v>
      </c>
    </row>
    <row r="416">
      <c r="I416" t="str">
        <f>IF(A416="","",LEN(A416)&amp;"|"&amp;A416&amp;B416)</f>
        <v/>
      </c>
      <c r="J416">
        <f>IF(A416="",0,IF(D416&lt;=Control!$B$2,1,0))</f>
        <v>0</v>
      </c>
      <c r="K416">
        <f>IF(J416=1,IF(SUMPRODUCT($J$2:$J$501*EXACT($I$2:$I$501,I416)*($C$2:$C$501&gt;C416))=0,1,0),0)</f>
        <v>0</v>
      </c>
      <c r="L416">
        <f>IF(K416=1,IF(EXACT(F416,"posted"),IF(E416&lt;=Control!$B$2,1,0),0),0)</f>
        <v>0</v>
      </c>
      <c r="M416">
        <f>IF(A416="",0,SUMPRODUCT(EXACT(Rates!$A$2:$A$4,G416)*Rates!$B$2:$B$4))</f>
        <v>0</v>
      </c>
      <c r="N416">
        <f>IF(L416=1,ROUND(ROUND(H416*M416*100,6),0),0)</f>
        <v>0</v>
      </c>
    </row>
    <row r="417">
      <c r="I417" t="str">
        <f>IF(A417="","",LEN(A417)&amp;"|"&amp;A417&amp;B417)</f>
        <v/>
      </c>
      <c r="J417">
        <f>IF(A417="",0,IF(D417&lt;=Control!$B$2,1,0))</f>
        <v>0</v>
      </c>
      <c r="K417">
        <f>IF(J417=1,IF(SUMPRODUCT($J$2:$J$501*EXACT($I$2:$I$501,I417)*($C$2:$C$501&gt;C417))=0,1,0),0)</f>
        <v>0</v>
      </c>
      <c r="L417">
        <f>IF(K417=1,IF(EXACT(F417,"posted"),IF(E417&lt;=Control!$B$2,1,0),0),0)</f>
        <v>0</v>
      </c>
      <c r="M417">
        <f>IF(A417="",0,SUMPRODUCT(EXACT(Rates!$A$2:$A$4,G417)*Rates!$B$2:$B$4))</f>
        <v>0</v>
      </c>
      <c r="N417">
        <f>IF(L417=1,ROUND(ROUND(H417*M417*100,6),0),0)</f>
        <v>0</v>
      </c>
    </row>
    <row r="418">
      <c r="I418" t="str">
        <f>IF(A418="","",LEN(A418)&amp;"|"&amp;A418&amp;B418)</f>
        <v/>
      </c>
      <c r="J418">
        <f>IF(A418="",0,IF(D418&lt;=Control!$B$2,1,0))</f>
        <v>0</v>
      </c>
      <c r="K418">
        <f>IF(J418=1,IF(SUMPRODUCT($J$2:$J$501*EXACT($I$2:$I$501,I418)*($C$2:$C$501&gt;C418))=0,1,0),0)</f>
        <v>0</v>
      </c>
      <c r="L418">
        <f>IF(K418=1,IF(EXACT(F418,"posted"),IF(E418&lt;=Control!$B$2,1,0),0),0)</f>
        <v>0</v>
      </c>
      <c r="M418">
        <f>IF(A418="",0,SUMPRODUCT(EXACT(Rates!$A$2:$A$4,G418)*Rates!$B$2:$B$4))</f>
        <v>0</v>
      </c>
      <c r="N418">
        <f>IF(L418=1,ROUND(ROUND(H418*M418*100,6),0),0)</f>
        <v>0</v>
      </c>
    </row>
    <row r="419">
      <c r="I419" t="str">
        <f>IF(A419="","",LEN(A419)&amp;"|"&amp;A419&amp;B419)</f>
        <v/>
      </c>
      <c r="J419">
        <f>IF(A419="",0,IF(D419&lt;=Control!$B$2,1,0))</f>
        <v>0</v>
      </c>
      <c r="K419">
        <f>IF(J419=1,IF(SUMPRODUCT($J$2:$J$501*EXACT($I$2:$I$501,I419)*($C$2:$C$501&gt;C419))=0,1,0),0)</f>
        <v>0</v>
      </c>
      <c r="L419">
        <f>IF(K419=1,IF(EXACT(F419,"posted"),IF(E419&lt;=Control!$B$2,1,0),0),0)</f>
        <v>0</v>
      </c>
      <c r="M419">
        <f>IF(A419="",0,SUMPRODUCT(EXACT(Rates!$A$2:$A$4,G419)*Rates!$B$2:$B$4))</f>
        <v>0</v>
      </c>
      <c r="N419">
        <f>IF(L419=1,ROUND(ROUND(H419*M419*100,6),0),0)</f>
        <v>0</v>
      </c>
    </row>
    <row r="420">
      <c r="I420" t="str">
        <f>IF(A420="","",LEN(A420)&amp;"|"&amp;A420&amp;B420)</f>
        <v/>
      </c>
      <c r="J420">
        <f>IF(A420="",0,IF(D420&lt;=Control!$B$2,1,0))</f>
        <v>0</v>
      </c>
      <c r="K420">
        <f>IF(J420=1,IF(SUMPRODUCT($J$2:$J$501*EXACT($I$2:$I$501,I420)*($C$2:$C$501&gt;C420))=0,1,0),0)</f>
        <v>0</v>
      </c>
      <c r="L420">
        <f>IF(K420=1,IF(EXACT(F420,"posted"),IF(E420&lt;=Control!$B$2,1,0),0),0)</f>
        <v>0</v>
      </c>
      <c r="M420">
        <f>IF(A420="",0,SUMPRODUCT(EXACT(Rates!$A$2:$A$4,G420)*Rates!$B$2:$B$4))</f>
        <v>0</v>
      </c>
      <c r="N420">
        <f>IF(L420=1,ROUND(ROUND(H420*M420*100,6),0),0)</f>
        <v>0</v>
      </c>
    </row>
    <row r="421">
      <c r="I421" t="str">
        <f>IF(A421="","",LEN(A421)&amp;"|"&amp;A421&amp;B421)</f>
        <v/>
      </c>
      <c r="J421">
        <f>IF(A421="",0,IF(D421&lt;=Control!$B$2,1,0))</f>
        <v>0</v>
      </c>
      <c r="K421">
        <f>IF(J421=1,IF(SUMPRODUCT($J$2:$J$501*EXACT($I$2:$I$501,I421)*($C$2:$C$501&gt;C421))=0,1,0),0)</f>
        <v>0</v>
      </c>
      <c r="L421">
        <f>IF(K421=1,IF(EXACT(F421,"posted"),IF(E421&lt;=Control!$B$2,1,0),0),0)</f>
        <v>0</v>
      </c>
      <c r="M421">
        <f>IF(A421="",0,SUMPRODUCT(EXACT(Rates!$A$2:$A$4,G421)*Rates!$B$2:$B$4))</f>
        <v>0</v>
      </c>
      <c r="N421">
        <f>IF(L421=1,ROUND(ROUND(H421*M421*100,6),0),0)</f>
        <v>0</v>
      </c>
    </row>
    <row r="422">
      <c r="I422" t="str">
        <f>IF(A422="","",LEN(A422)&amp;"|"&amp;A422&amp;B422)</f>
        <v/>
      </c>
      <c r="J422">
        <f>IF(A422="",0,IF(D422&lt;=Control!$B$2,1,0))</f>
        <v>0</v>
      </c>
      <c r="K422">
        <f>IF(J422=1,IF(SUMPRODUCT($J$2:$J$501*EXACT($I$2:$I$501,I422)*($C$2:$C$501&gt;C422))=0,1,0),0)</f>
        <v>0</v>
      </c>
      <c r="L422">
        <f>IF(K422=1,IF(EXACT(F422,"posted"),IF(E422&lt;=Control!$B$2,1,0),0),0)</f>
        <v>0</v>
      </c>
      <c r="M422">
        <f>IF(A422="",0,SUMPRODUCT(EXACT(Rates!$A$2:$A$4,G422)*Rates!$B$2:$B$4))</f>
        <v>0</v>
      </c>
      <c r="N422">
        <f>IF(L422=1,ROUND(ROUND(H422*M422*100,6),0),0)</f>
        <v>0</v>
      </c>
    </row>
    <row r="423">
      <c r="I423" t="str">
        <f>IF(A423="","",LEN(A423)&amp;"|"&amp;A423&amp;B423)</f>
        <v/>
      </c>
      <c r="J423">
        <f>IF(A423="",0,IF(D423&lt;=Control!$B$2,1,0))</f>
        <v>0</v>
      </c>
      <c r="K423">
        <f>IF(J423=1,IF(SUMPRODUCT($J$2:$J$501*EXACT($I$2:$I$501,I423)*($C$2:$C$501&gt;C423))=0,1,0),0)</f>
        <v>0</v>
      </c>
      <c r="L423">
        <f>IF(K423=1,IF(EXACT(F423,"posted"),IF(E423&lt;=Control!$B$2,1,0),0),0)</f>
        <v>0</v>
      </c>
      <c r="M423">
        <f>IF(A423="",0,SUMPRODUCT(EXACT(Rates!$A$2:$A$4,G423)*Rates!$B$2:$B$4))</f>
        <v>0</v>
      </c>
      <c r="N423">
        <f>IF(L423=1,ROUND(ROUND(H423*M423*100,6),0),0)</f>
        <v>0</v>
      </c>
    </row>
    <row r="424">
      <c r="I424" t="str">
        <f>IF(A424="","",LEN(A424)&amp;"|"&amp;A424&amp;B424)</f>
        <v/>
      </c>
      <c r="J424">
        <f>IF(A424="",0,IF(D424&lt;=Control!$B$2,1,0))</f>
        <v>0</v>
      </c>
      <c r="K424">
        <f>IF(J424=1,IF(SUMPRODUCT($J$2:$J$501*EXACT($I$2:$I$501,I424)*($C$2:$C$501&gt;C424))=0,1,0),0)</f>
        <v>0</v>
      </c>
      <c r="L424">
        <f>IF(K424=1,IF(EXACT(F424,"posted"),IF(E424&lt;=Control!$B$2,1,0),0),0)</f>
        <v>0</v>
      </c>
      <c r="M424">
        <f>IF(A424="",0,SUMPRODUCT(EXACT(Rates!$A$2:$A$4,G424)*Rates!$B$2:$B$4))</f>
        <v>0</v>
      </c>
      <c r="N424">
        <f>IF(L424=1,ROUND(ROUND(H424*M424*100,6),0),0)</f>
        <v>0</v>
      </c>
    </row>
    <row r="425">
      <c r="I425" t="str">
        <f>IF(A425="","",LEN(A425)&amp;"|"&amp;A425&amp;B425)</f>
        <v/>
      </c>
      <c r="J425">
        <f>IF(A425="",0,IF(D425&lt;=Control!$B$2,1,0))</f>
        <v>0</v>
      </c>
      <c r="K425">
        <f>IF(J425=1,IF(SUMPRODUCT($J$2:$J$501*EXACT($I$2:$I$501,I425)*($C$2:$C$501&gt;C425))=0,1,0),0)</f>
        <v>0</v>
      </c>
      <c r="L425">
        <f>IF(K425=1,IF(EXACT(F425,"posted"),IF(E425&lt;=Control!$B$2,1,0),0),0)</f>
        <v>0</v>
      </c>
      <c r="M425">
        <f>IF(A425="",0,SUMPRODUCT(EXACT(Rates!$A$2:$A$4,G425)*Rates!$B$2:$B$4))</f>
        <v>0</v>
      </c>
      <c r="N425">
        <f>IF(L425=1,ROUND(ROUND(H425*M425*100,6),0),0)</f>
        <v>0</v>
      </c>
    </row>
    <row r="426">
      <c r="I426" t="str">
        <f>IF(A426="","",LEN(A426)&amp;"|"&amp;A426&amp;B426)</f>
        <v/>
      </c>
      <c r="J426">
        <f>IF(A426="",0,IF(D426&lt;=Control!$B$2,1,0))</f>
        <v>0</v>
      </c>
      <c r="K426">
        <f>IF(J426=1,IF(SUMPRODUCT($J$2:$J$501*EXACT($I$2:$I$501,I426)*($C$2:$C$501&gt;C426))=0,1,0),0)</f>
        <v>0</v>
      </c>
      <c r="L426">
        <f>IF(K426=1,IF(EXACT(F426,"posted"),IF(E426&lt;=Control!$B$2,1,0),0),0)</f>
        <v>0</v>
      </c>
      <c r="M426">
        <f>IF(A426="",0,SUMPRODUCT(EXACT(Rates!$A$2:$A$4,G426)*Rates!$B$2:$B$4))</f>
        <v>0</v>
      </c>
      <c r="N426">
        <f>IF(L426=1,ROUND(ROUND(H426*M426*100,6),0),0)</f>
        <v>0</v>
      </c>
    </row>
    <row r="427">
      <c r="I427" t="str">
        <f>IF(A427="","",LEN(A427)&amp;"|"&amp;A427&amp;B427)</f>
        <v/>
      </c>
      <c r="J427">
        <f>IF(A427="",0,IF(D427&lt;=Control!$B$2,1,0))</f>
        <v>0</v>
      </c>
      <c r="K427">
        <f>IF(J427=1,IF(SUMPRODUCT($J$2:$J$501*EXACT($I$2:$I$501,I427)*($C$2:$C$501&gt;C427))=0,1,0),0)</f>
        <v>0</v>
      </c>
      <c r="L427">
        <f>IF(K427=1,IF(EXACT(F427,"posted"),IF(E427&lt;=Control!$B$2,1,0),0),0)</f>
        <v>0</v>
      </c>
      <c r="M427">
        <f>IF(A427="",0,SUMPRODUCT(EXACT(Rates!$A$2:$A$4,G427)*Rates!$B$2:$B$4))</f>
        <v>0</v>
      </c>
      <c r="N427">
        <f>IF(L427=1,ROUND(ROUND(H427*M427*100,6),0),0)</f>
        <v>0</v>
      </c>
    </row>
    <row r="428">
      <c r="I428" t="str">
        <f>IF(A428="","",LEN(A428)&amp;"|"&amp;A428&amp;B428)</f>
        <v/>
      </c>
      <c r="J428">
        <f>IF(A428="",0,IF(D428&lt;=Control!$B$2,1,0))</f>
        <v>0</v>
      </c>
      <c r="K428">
        <f>IF(J428=1,IF(SUMPRODUCT($J$2:$J$501*EXACT($I$2:$I$501,I428)*($C$2:$C$501&gt;C428))=0,1,0),0)</f>
        <v>0</v>
      </c>
      <c r="L428">
        <f>IF(K428=1,IF(EXACT(F428,"posted"),IF(E428&lt;=Control!$B$2,1,0),0),0)</f>
        <v>0</v>
      </c>
      <c r="M428">
        <f>IF(A428="",0,SUMPRODUCT(EXACT(Rates!$A$2:$A$4,G428)*Rates!$B$2:$B$4))</f>
        <v>0</v>
      </c>
      <c r="N428">
        <f>IF(L428=1,ROUND(ROUND(H428*M428*100,6),0),0)</f>
        <v>0</v>
      </c>
    </row>
    <row r="429">
      <c r="I429" t="str">
        <f>IF(A429="","",LEN(A429)&amp;"|"&amp;A429&amp;B429)</f>
        <v/>
      </c>
      <c r="J429">
        <f>IF(A429="",0,IF(D429&lt;=Control!$B$2,1,0))</f>
        <v>0</v>
      </c>
      <c r="K429">
        <f>IF(J429=1,IF(SUMPRODUCT($J$2:$J$501*EXACT($I$2:$I$501,I429)*($C$2:$C$501&gt;C429))=0,1,0),0)</f>
        <v>0</v>
      </c>
      <c r="L429">
        <f>IF(K429=1,IF(EXACT(F429,"posted"),IF(E429&lt;=Control!$B$2,1,0),0),0)</f>
        <v>0</v>
      </c>
      <c r="M429">
        <f>IF(A429="",0,SUMPRODUCT(EXACT(Rates!$A$2:$A$4,G429)*Rates!$B$2:$B$4))</f>
        <v>0</v>
      </c>
      <c r="N429">
        <f>IF(L429=1,ROUND(ROUND(H429*M429*100,6),0),0)</f>
        <v>0</v>
      </c>
    </row>
    <row r="430">
      <c r="I430" t="str">
        <f>IF(A430="","",LEN(A430)&amp;"|"&amp;A430&amp;B430)</f>
        <v/>
      </c>
      <c r="J430">
        <f>IF(A430="",0,IF(D430&lt;=Control!$B$2,1,0))</f>
        <v>0</v>
      </c>
      <c r="K430">
        <f>IF(J430=1,IF(SUMPRODUCT($J$2:$J$501*EXACT($I$2:$I$501,I430)*($C$2:$C$501&gt;C430))=0,1,0),0)</f>
        <v>0</v>
      </c>
      <c r="L430">
        <f>IF(K430=1,IF(EXACT(F430,"posted"),IF(E430&lt;=Control!$B$2,1,0),0),0)</f>
        <v>0</v>
      </c>
      <c r="M430">
        <f>IF(A430="",0,SUMPRODUCT(EXACT(Rates!$A$2:$A$4,G430)*Rates!$B$2:$B$4))</f>
        <v>0</v>
      </c>
      <c r="N430">
        <f>IF(L430=1,ROUND(ROUND(H430*M430*100,6),0),0)</f>
        <v>0</v>
      </c>
    </row>
    <row r="431">
      <c r="I431" t="str">
        <f>IF(A431="","",LEN(A431)&amp;"|"&amp;A431&amp;B431)</f>
        <v/>
      </c>
      <c r="J431">
        <f>IF(A431="",0,IF(D431&lt;=Control!$B$2,1,0))</f>
        <v>0</v>
      </c>
      <c r="K431">
        <f>IF(J431=1,IF(SUMPRODUCT($J$2:$J$501*EXACT($I$2:$I$501,I431)*($C$2:$C$501&gt;C431))=0,1,0),0)</f>
        <v>0</v>
      </c>
      <c r="L431">
        <f>IF(K431=1,IF(EXACT(F431,"posted"),IF(E431&lt;=Control!$B$2,1,0),0),0)</f>
        <v>0</v>
      </c>
      <c r="M431">
        <f>IF(A431="",0,SUMPRODUCT(EXACT(Rates!$A$2:$A$4,G431)*Rates!$B$2:$B$4))</f>
        <v>0</v>
      </c>
      <c r="N431">
        <f>IF(L431=1,ROUND(ROUND(H431*M431*100,6),0),0)</f>
        <v>0</v>
      </c>
    </row>
    <row r="432">
      <c r="I432" t="str">
        <f>IF(A432="","",LEN(A432)&amp;"|"&amp;A432&amp;B432)</f>
        <v/>
      </c>
      <c r="J432">
        <f>IF(A432="",0,IF(D432&lt;=Control!$B$2,1,0))</f>
        <v>0</v>
      </c>
      <c r="K432">
        <f>IF(J432=1,IF(SUMPRODUCT($J$2:$J$501*EXACT($I$2:$I$501,I432)*($C$2:$C$501&gt;C432))=0,1,0),0)</f>
        <v>0</v>
      </c>
      <c r="L432">
        <f>IF(K432=1,IF(EXACT(F432,"posted"),IF(E432&lt;=Control!$B$2,1,0),0),0)</f>
        <v>0</v>
      </c>
      <c r="M432">
        <f>IF(A432="",0,SUMPRODUCT(EXACT(Rates!$A$2:$A$4,G432)*Rates!$B$2:$B$4))</f>
        <v>0</v>
      </c>
      <c r="N432">
        <f>IF(L432=1,ROUND(ROUND(H432*M432*100,6),0),0)</f>
        <v>0</v>
      </c>
    </row>
    <row r="433">
      <c r="I433" t="str">
        <f>IF(A433="","",LEN(A433)&amp;"|"&amp;A433&amp;B433)</f>
        <v/>
      </c>
      <c r="J433">
        <f>IF(A433="",0,IF(D433&lt;=Control!$B$2,1,0))</f>
        <v>0</v>
      </c>
      <c r="K433">
        <f>IF(J433=1,IF(SUMPRODUCT($J$2:$J$501*EXACT($I$2:$I$501,I433)*($C$2:$C$501&gt;C433))=0,1,0),0)</f>
        <v>0</v>
      </c>
      <c r="L433">
        <f>IF(K433=1,IF(EXACT(F433,"posted"),IF(E433&lt;=Control!$B$2,1,0),0),0)</f>
        <v>0</v>
      </c>
      <c r="M433">
        <f>IF(A433="",0,SUMPRODUCT(EXACT(Rates!$A$2:$A$4,G433)*Rates!$B$2:$B$4))</f>
        <v>0</v>
      </c>
      <c r="N433">
        <f>IF(L433=1,ROUND(ROUND(H433*M433*100,6),0),0)</f>
        <v>0</v>
      </c>
    </row>
    <row r="434">
      <c r="I434" t="str">
        <f>IF(A434="","",LEN(A434)&amp;"|"&amp;A434&amp;B434)</f>
        <v/>
      </c>
      <c r="J434">
        <f>IF(A434="",0,IF(D434&lt;=Control!$B$2,1,0))</f>
        <v>0</v>
      </c>
      <c r="K434">
        <f>IF(J434=1,IF(SUMPRODUCT($J$2:$J$501*EXACT($I$2:$I$501,I434)*($C$2:$C$501&gt;C434))=0,1,0),0)</f>
        <v>0</v>
      </c>
      <c r="L434">
        <f>IF(K434=1,IF(EXACT(F434,"posted"),IF(E434&lt;=Control!$B$2,1,0),0),0)</f>
        <v>0</v>
      </c>
      <c r="M434">
        <f>IF(A434="",0,SUMPRODUCT(EXACT(Rates!$A$2:$A$4,G434)*Rates!$B$2:$B$4))</f>
        <v>0</v>
      </c>
      <c r="N434">
        <f>IF(L434=1,ROUND(ROUND(H434*M434*100,6),0),0)</f>
        <v>0</v>
      </c>
    </row>
    <row r="435">
      <c r="I435" t="str">
        <f>IF(A435="","",LEN(A435)&amp;"|"&amp;A435&amp;B435)</f>
        <v/>
      </c>
      <c r="J435">
        <f>IF(A435="",0,IF(D435&lt;=Control!$B$2,1,0))</f>
        <v>0</v>
      </c>
      <c r="K435">
        <f>IF(J435=1,IF(SUMPRODUCT($J$2:$J$501*EXACT($I$2:$I$501,I435)*($C$2:$C$501&gt;C435))=0,1,0),0)</f>
        <v>0</v>
      </c>
      <c r="L435">
        <f>IF(K435=1,IF(EXACT(F435,"posted"),IF(E435&lt;=Control!$B$2,1,0),0),0)</f>
        <v>0</v>
      </c>
      <c r="M435">
        <f>IF(A435="",0,SUMPRODUCT(EXACT(Rates!$A$2:$A$4,G435)*Rates!$B$2:$B$4))</f>
        <v>0</v>
      </c>
      <c r="N435">
        <f>IF(L435=1,ROUND(ROUND(H435*M435*100,6),0),0)</f>
        <v>0</v>
      </c>
    </row>
    <row r="436">
      <c r="I436" t="str">
        <f>IF(A436="","",LEN(A436)&amp;"|"&amp;A436&amp;B436)</f>
        <v/>
      </c>
      <c r="J436">
        <f>IF(A436="",0,IF(D436&lt;=Control!$B$2,1,0))</f>
        <v>0</v>
      </c>
      <c r="K436">
        <f>IF(J436=1,IF(SUMPRODUCT($J$2:$J$501*EXACT($I$2:$I$501,I436)*($C$2:$C$501&gt;C436))=0,1,0),0)</f>
        <v>0</v>
      </c>
      <c r="L436">
        <f>IF(K436=1,IF(EXACT(F436,"posted"),IF(E436&lt;=Control!$B$2,1,0),0),0)</f>
        <v>0</v>
      </c>
      <c r="M436">
        <f>IF(A436="",0,SUMPRODUCT(EXACT(Rates!$A$2:$A$4,G436)*Rates!$B$2:$B$4))</f>
        <v>0</v>
      </c>
      <c r="N436">
        <f>IF(L436=1,ROUND(ROUND(H436*M436*100,6),0),0)</f>
        <v>0</v>
      </c>
    </row>
    <row r="437">
      <c r="I437" t="str">
        <f>IF(A437="","",LEN(A437)&amp;"|"&amp;A437&amp;B437)</f>
        <v/>
      </c>
      <c r="J437">
        <f>IF(A437="",0,IF(D437&lt;=Control!$B$2,1,0))</f>
        <v>0</v>
      </c>
      <c r="K437">
        <f>IF(J437=1,IF(SUMPRODUCT($J$2:$J$501*EXACT($I$2:$I$501,I437)*($C$2:$C$501&gt;C437))=0,1,0),0)</f>
        <v>0</v>
      </c>
      <c r="L437">
        <f>IF(K437=1,IF(EXACT(F437,"posted"),IF(E437&lt;=Control!$B$2,1,0),0),0)</f>
        <v>0</v>
      </c>
      <c r="M437">
        <f>IF(A437="",0,SUMPRODUCT(EXACT(Rates!$A$2:$A$4,G437)*Rates!$B$2:$B$4))</f>
        <v>0</v>
      </c>
      <c r="N437">
        <f>IF(L437=1,ROUND(ROUND(H437*M437*100,6),0),0)</f>
        <v>0</v>
      </c>
    </row>
    <row r="438">
      <c r="I438" t="str">
        <f>IF(A438="","",LEN(A438)&amp;"|"&amp;A438&amp;B438)</f>
        <v/>
      </c>
      <c r="J438">
        <f>IF(A438="",0,IF(D438&lt;=Control!$B$2,1,0))</f>
        <v>0</v>
      </c>
      <c r="K438">
        <f>IF(J438=1,IF(SUMPRODUCT($J$2:$J$501*EXACT($I$2:$I$501,I438)*($C$2:$C$501&gt;C438))=0,1,0),0)</f>
        <v>0</v>
      </c>
      <c r="L438">
        <f>IF(K438=1,IF(EXACT(F438,"posted"),IF(E438&lt;=Control!$B$2,1,0),0),0)</f>
        <v>0</v>
      </c>
      <c r="M438">
        <f>IF(A438="",0,SUMPRODUCT(EXACT(Rates!$A$2:$A$4,G438)*Rates!$B$2:$B$4))</f>
        <v>0</v>
      </c>
      <c r="N438">
        <f>IF(L438=1,ROUND(ROUND(H438*M438*100,6),0),0)</f>
        <v>0</v>
      </c>
    </row>
    <row r="439">
      <c r="I439" t="str">
        <f>IF(A439="","",LEN(A439)&amp;"|"&amp;A439&amp;B439)</f>
        <v/>
      </c>
      <c r="J439">
        <f>IF(A439="",0,IF(D439&lt;=Control!$B$2,1,0))</f>
        <v>0</v>
      </c>
      <c r="K439">
        <f>IF(J439=1,IF(SUMPRODUCT($J$2:$J$501*EXACT($I$2:$I$501,I439)*($C$2:$C$501&gt;C439))=0,1,0),0)</f>
        <v>0</v>
      </c>
      <c r="L439">
        <f>IF(K439=1,IF(EXACT(F439,"posted"),IF(E439&lt;=Control!$B$2,1,0),0),0)</f>
        <v>0</v>
      </c>
      <c r="M439">
        <f>IF(A439="",0,SUMPRODUCT(EXACT(Rates!$A$2:$A$4,G439)*Rates!$B$2:$B$4))</f>
        <v>0</v>
      </c>
      <c r="N439">
        <f>IF(L439=1,ROUND(ROUND(H439*M439*100,6),0),0)</f>
        <v>0</v>
      </c>
    </row>
    <row r="440">
      <c r="I440" t="str">
        <f>IF(A440="","",LEN(A440)&amp;"|"&amp;A440&amp;B440)</f>
        <v/>
      </c>
      <c r="J440">
        <f>IF(A440="",0,IF(D440&lt;=Control!$B$2,1,0))</f>
        <v>0</v>
      </c>
      <c r="K440">
        <f>IF(J440=1,IF(SUMPRODUCT($J$2:$J$501*EXACT($I$2:$I$501,I440)*($C$2:$C$501&gt;C440))=0,1,0),0)</f>
        <v>0</v>
      </c>
      <c r="L440">
        <f>IF(K440=1,IF(EXACT(F440,"posted"),IF(E440&lt;=Control!$B$2,1,0),0),0)</f>
        <v>0</v>
      </c>
      <c r="M440">
        <f>IF(A440="",0,SUMPRODUCT(EXACT(Rates!$A$2:$A$4,G440)*Rates!$B$2:$B$4))</f>
        <v>0</v>
      </c>
      <c r="N440">
        <f>IF(L440=1,ROUND(ROUND(H440*M440*100,6),0),0)</f>
        <v>0</v>
      </c>
    </row>
    <row r="441">
      <c r="I441" t="str">
        <f>IF(A441="","",LEN(A441)&amp;"|"&amp;A441&amp;B441)</f>
        <v/>
      </c>
      <c r="J441">
        <f>IF(A441="",0,IF(D441&lt;=Control!$B$2,1,0))</f>
        <v>0</v>
      </c>
      <c r="K441">
        <f>IF(J441=1,IF(SUMPRODUCT($J$2:$J$501*EXACT($I$2:$I$501,I441)*($C$2:$C$501&gt;C441))=0,1,0),0)</f>
        <v>0</v>
      </c>
      <c r="L441">
        <f>IF(K441=1,IF(EXACT(F441,"posted"),IF(E441&lt;=Control!$B$2,1,0),0),0)</f>
        <v>0</v>
      </c>
      <c r="M441">
        <f>IF(A441="",0,SUMPRODUCT(EXACT(Rates!$A$2:$A$4,G441)*Rates!$B$2:$B$4))</f>
        <v>0</v>
      </c>
      <c r="N441">
        <f>IF(L441=1,ROUND(ROUND(H441*M441*100,6),0),0)</f>
        <v>0</v>
      </c>
    </row>
    <row r="442">
      <c r="I442" t="str">
        <f>IF(A442="","",LEN(A442)&amp;"|"&amp;A442&amp;B442)</f>
        <v/>
      </c>
      <c r="J442">
        <f>IF(A442="",0,IF(D442&lt;=Control!$B$2,1,0))</f>
        <v>0</v>
      </c>
      <c r="K442">
        <f>IF(J442=1,IF(SUMPRODUCT($J$2:$J$501*EXACT($I$2:$I$501,I442)*($C$2:$C$501&gt;C442))=0,1,0),0)</f>
        <v>0</v>
      </c>
      <c r="L442">
        <f>IF(K442=1,IF(EXACT(F442,"posted"),IF(E442&lt;=Control!$B$2,1,0),0),0)</f>
        <v>0</v>
      </c>
      <c r="M442">
        <f>IF(A442="",0,SUMPRODUCT(EXACT(Rates!$A$2:$A$4,G442)*Rates!$B$2:$B$4))</f>
        <v>0</v>
      </c>
      <c r="N442">
        <f>IF(L442=1,ROUND(ROUND(H442*M442*100,6),0),0)</f>
        <v>0</v>
      </c>
    </row>
    <row r="443">
      <c r="I443" t="str">
        <f>IF(A443="","",LEN(A443)&amp;"|"&amp;A443&amp;B443)</f>
        <v/>
      </c>
      <c r="J443">
        <f>IF(A443="",0,IF(D443&lt;=Control!$B$2,1,0))</f>
        <v>0</v>
      </c>
      <c r="K443">
        <f>IF(J443=1,IF(SUMPRODUCT($J$2:$J$501*EXACT($I$2:$I$501,I443)*($C$2:$C$501&gt;C443))=0,1,0),0)</f>
        <v>0</v>
      </c>
      <c r="L443">
        <f>IF(K443=1,IF(EXACT(F443,"posted"),IF(E443&lt;=Control!$B$2,1,0),0),0)</f>
        <v>0</v>
      </c>
      <c r="M443">
        <f>IF(A443="",0,SUMPRODUCT(EXACT(Rates!$A$2:$A$4,G443)*Rates!$B$2:$B$4))</f>
        <v>0</v>
      </c>
      <c r="N443">
        <f>IF(L443=1,ROUND(ROUND(H443*M443*100,6),0),0)</f>
        <v>0</v>
      </c>
    </row>
    <row r="444">
      <c r="I444" t="str">
        <f>IF(A444="","",LEN(A444)&amp;"|"&amp;A444&amp;B444)</f>
        <v/>
      </c>
      <c r="J444">
        <f>IF(A444="",0,IF(D444&lt;=Control!$B$2,1,0))</f>
        <v>0</v>
      </c>
      <c r="K444">
        <f>IF(J444=1,IF(SUMPRODUCT($J$2:$J$501*EXACT($I$2:$I$501,I444)*($C$2:$C$501&gt;C444))=0,1,0),0)</f>
        <v>0</v>
      </c>
      <c r="L444">
        <f>IF(K444=1,IF(EXACT(F444,"posted"),IF(E444&lt;=Control!$B$2,1,0),0),0)</f>
        <v>0</v>
      </c>
      <c r="M444">
        <f>IF(A444="",0,SUMPRODUCT(EXACT(Rates!$A$2:$A$4,G444)*Rates!$B$2:$B$4))</f>
        <v>0</v>
      </c>
      <c r="N444">
        <f>IF(L444=1,ROUND(ROUND(H444*M444*100,6),0),0)</f>
        <v>0</v>
      </c>
    </row>
    <row r="445">
      <c r="I445" t="str">
        <f>IF(A445="","",LEN(A445)&amp;"|"&amp;A445&amp;B445)</f>
        <v/>
      </c>
      <c r="J445">
        <f>IF(A445="",0,IF(D445&lt;=Control!$B$2,1,0))</f>
        <v>0</v>
      </c>
      <c r="K445">
        <f>IF(J445=1,IF(SUMPRODUCT($J$2:$J$501*EXACT($I$2:$I$501,I445)*($C$2:$C$501&gt;C445))=0,1,0),0)</f>
        <v>0</v>
      </c>
      <c r="L445">
        <f>IF(K445=1,IF(EXACT(F445,"posted"),IF(E445&lt;=Control!$B$2,1,0),0),0)</f>
        <v>0</v>
      </c>
      <c r="M445">
        <f>IF(A445="",0,SUMPRODUCT(EXACT(Rates!$A$2:$A$4,G445)*Rates!$B$2:$B$4))</f>
        <v>0</v>
      </c>
      <c r="N445">
        <f>IF(L445=1,ROUND(ROUND(H445*M445*100,6),0),0)</f>
        <v>0</v>
      </c>
    </row>
    <row r="446">
      <c r="I446" t="str">
        <f>IF(A446="","",LEN(A446)&amp;"|"&amp;A446&amp;B446)</f>
        <v/>
      </c>
      <c r="J446">
        <f>IF(A446="",0,IF(D446&lt;=Control!$B$2,1,0))</f>
        <v>0</v>
      </c>
      <c r="K446">
        <f>IF(J446=1,IF(SUMPRODUCT($J$2:$J$501*EXACT($I$2:$I$501,I446)*($C$2:$C$501&gt;C446))=0,1,0),0)</f>
        <v>0</v>
      </c>
      <c r="L446">
        <f>IF(K446=1,IF(EXACT(F446,"posted"),IF(E446&lt;=Control!$B$2,1,0),0),0)</f>
        <v>0</v>
      </c>
      <c r="M446">
        <f>IF(A446="",0,SUMPRODUCT(EXACT(Rates!$A$2:$A$4,G446)*Rates!$B$2:$B$4))</f>
        <v>0</v>
      </c>
      <c r="N446">
        <f>IF(L446=1,ROUND(ROUND(H446*M446*100,6),0),0)</f>
        <v>0</v>
      </c>
    </row>
    <row r="447">
      <c r="I447" t="str">
        <f>IF(A447="","",LEN(A447)&amp;"|"&amp;A447&amp;B447)</f>
        <v/>
      </c>
      <c r="J447">
        <f>IF(A447="",0,IF(D447&lt;=Control!$B$2,1,0))</f>
        <v>0</v>
      </c>
      <c r="K447">
        <f>IF(J447=1,IF(SUMPRODUCT($J$2:$J$501*EXACT($I$2:$I$501,I447)*($C$2:$C$501&gt;C447))=0,1,0),0)</f>
        <v>0</v>
      </c>
      <c r="L447">
        <f>IF(K447=1,IF(EXACT(F447,"posted"),IF(E447&lt;=Control!$B$2,1,0),0),0)</f>
        <v>0</v>
      </c>
      <c r="M447">
        <f>IF(A447="",0,SUMPRODUCT(EXACT(Rates!$A$2:$A$4,G447)*Rates!$B$2:$B$4))</f>
        <v>0</v>
      </c>
      <c r="N447">
        <f>IF(L447=1,ROUND(ROUND(H447*M447*100,6),0),0)</f>
        <v>0</v>
      </c>
    </row>
    <row r="448">
      <c r="I448" t="str">
        <f>IF(A448="","",LEN(A448)&amp;"|"&amp;A448&amp;B448)</f>
        <v/>
      </c>
      <c r="J448">
        <f>IF(A448="",0,IF(D448&lt;=Control!$B$2,1,0))</f>
        <v>0</v>
      </c>
      <c r="K448">
        <f>IF(J448=1,IF(SUMPRODUCT($J$2:$J$501*EXACT($I$2:$I$501,I448)*($C$2:$C$501&gt;C448))=0,1,0),0)</f>
        <v>0</v>
      </c>
      <c r="L448">
        <f>IF(K448=1,IF(EXACT(F448,"posted"),IF(E448&lt;=Control!$B$2,1,0),0),0)</f>
        <v>0</v>
      </c>
      <c r="M448">
        <f>IF(A448="",0,SUMPRODUCT(EXACT(Rates!$A$2:$A$4,G448)*Rates!$B$2:$B$4))</f>
        <v>0</v>
      </c>
      <c r="N448">
        <f>IF(L448=1,ROUND(ROUND(H448*M448*100,6),0),0)</f>
        <v>0</v>
      </c>
    </row>
    <row r="449">
      <c r="I449" t="str">
        <f>IF(A449="","",LEN(A449)&amp;"|"&amp;A449&amp;B449)</f>
        <v/>
      </c>
      <c r="J449">
        <f>IF(A449="",0,IF(D449&lt;=Control!$B$2,1,0))</f>
        <v>0</v>
      </c>
      <c r="K449">
        <f>IF(J449=1,IF(SUMPRODUCT($J$2:$J$501*EXACT($I$2:$I$501,I449)*($C$2:$C$501&gt;C449))=0,1,0),0)</f>
        <v>0</v>
      </c>
      <c r="L449">
        <f>IF(K449=1,IF(EXACT(F449,"posted"),IF(E449&lt;=Control!$B$2,1,0),0),0)</f>
        <v>0</v>
      </c>
      <c r="M449">
        <f>IF(A449="",0,SUMPRODUCT(EXACT(Rates!$A$2:$A$4,G449)*Rates!$B$2:$B$4))</f>
        <v>0</v>
      </c>
      <c r="N449">
        <f>IF(L449=1,ROUND(ROUND(H449*M449*100,6),0),0)</f>
        <v>0</v>
      </c>
    </row>
    <row r="450">
      <c r="I450" t="str">
        <f>IF(A450="","",LEN(A450)&amp;"|"&amp;A450&amp;B450)</f>
        <v/>
      </c>
      <c r="J450">
        <f>IF(A450="",0,IF(D450&lt;=Control!$B$2,1,0))</f>
        <v>0</v>
      </c>
      <c r="K450">
        <f>IF(J450=1,IF(SUMPRODUCT($J$2:$J$501*EXACT($I$2:$I$501,I450)*($C$2:$C$501&gt;C450))=0,1,0),0)</f>
        <v>0</v>
      </c>
      <c r="L450">
        <f>IF(K450=1,IF(EXACT(F450,"posted"),IF(E450&lt;=Control!$B$2,1,0),0),0)</f>
        <v>0</v>
      </c>
      <c r="M450">
        <f>IF(A450="",0,SUMPRODUCT(EXACT(Rates!$A$2:$A$4,G450)*Rates!$B$2:$B$4))</f>
        <v>0</v>
      </c>
      <c r="N450">
        <f>IF(L450=1,ROUND(ROUND(H450*M450*100,6),0),0)</f>
        <v>0</v>
      </c>
    </row>
    <row r="451">
      <c r="I451" t="str">
        <f>IF(A451="","",LEN(A451)&amp;"|"&amp;A451&amp;B451)</f>
        <v/>
      </c>
      <c r="J451">
        <f>IF(A451="",0,IF(D451&lt;=Control!$B$2,1,0))</f>
        <v>0</v>
      </c>
      <c r="K451">
        <f>IF(J451=1,IF(SUMPRODUCT($J$2:$J$501*EXACT($I$2:$I$501,I451)*($C$2:$C$501&gt;C451))=0,1,0),0)</f>
        <v>0</v>
      </c>
      <c r="L451">
        <f>IF(K451=1,IF(EXACT(F451,"posted"),IF(E451&lt;=Control!$B$2,1,0),0),0)</f>
        <v>0</v>
      </c>
      <c r="M451">
        <f>IF(A451="",0,SUMPRODUCT(EXACT(Rates!$A$2:$A$4,G451)*Rates!$B$2:$B$4))</f>
        <v>0</v>
      </c>
      <c r="N451">
        <f>IF(L451=1,ROUND(ROUND(H451*M451*100,6),0),0)</f>
        <v>0</v>
      </c>
    </row>
    <row r="452">
      <c r="I452" t="str">
        <f>IF(A452="","",LEN(A452)&amp;"|"&amp;A452&amp;B452)</f>
        <v/>
      </c>
      <c r="J452">
        <f>IF(A452="",0,IF(D452&lt;=Control!$B$2,1,0))</f>
        <v>0</v>
      </c>
      <c r="K452">
        <f>IF(J452=1,IF(SUMPRODUCT($J$2:$J$501*EXACT($I$2:$I$501,I452)*($C$2:$C$501&gt;C452))=0,1,0),0)</f>
        <v>0</v>
      </c>
      <c r="L452">
        <f>IF(K452=1,IF(EXACT(F452,"posted"),IF(E452&lt;=Control!$B$2,1,0),0),0)</f>
        <v>0</v>
      </c>
      <c r="M452">
        <f>IF(A452="",0,SUMPRODUCT(EXACT(Rates!$A$2:$A$4,G452)*Rates!$B$2:$B$4))</f>
        <v>0</v>
      </c>
      <c r="N452">
        <f>IF(L452=1,ROUND(ROUND(H452*M452*100,6),0),0)</f>
        <v>0</v>
      </c>
    </row>
    <row r="453">
      <c r="I453" t="str">
        <f>IF(A453="","",LEN(A453)&amp;"|"&amp;A453&amp;B453)</f>
        <v/>
      </c>
      <c r="J453">
        <f>IF(A453="",0,IF(D453&lt;=Control!$B$2,1,0))</f>
        <v>0</v>
      </c>
      <c r="K453">
        <f>IF(J453=1,IF(SUMPRODUCT($J$2:$J$501*EXACT($I$2:$I$501,I453)*($C$2:$C$501&gt;C453))=0,1,0),0)</f>
        <v>0</v>
      </c>
      <c r="L453">
        <f>IF(K453=1,IF(EXACT(F453,"posted"),IF(E453&lt;=Control!$B$2,1,0),0),0)</f>
        <v>0</v>
      </c>
      <c r="M453">
        <f>IF(A453="",0,SUMPRODUCT(EXACT(Rates!$A$2:$A$4,G453)*Rates!$B$2:$B$4))</f>
        <v>0</v>
      </c>
      <c r="N453">
        <f>IF(L453=1,ROUND(ROUND(H453*M453*100,6),0),0)</f>
        <v>0</v>
      </c>
    </row>
    <row r="454">
      <c r="I454" t="str">
        <f>IF(A454="","",LEN(A454)&amp;"|"&amp;A454&amp;B454)</f>
        <v/>
      </c>
      <c r="J454">
        <f>IF(A454="",0,IF(D454&lt;=Control!$B$2,1,0))</f>
        <v>0</v>
      </c>
      <c r="K454">
        <f>IF(J454=1,IF(SUMPRODUCT($J$2:$J$501*EXACT($I$2:$I$501,I454)*($C$2:$C$501&gt;C454))=0,1,0),0)</f>
        <v>0</v>
      </c>
      <c r="L454">
        <f>IF(K454=1,IF(EXACT(F454,"posted"),IF(E454&lt;=Control!$B$2,1,0),0),0)</f>
        <v>0</v>
      </c>
      <c r="M454">
        <f>IF(A454="",0,SUMPRODUCT(EXACT(Rates!$A$2:$A$4,G454)*Rates!$B$2:$B$4))</f>
        <v>0</v>
      </c>
      <c r="N454">
        <f>IF(L454=1,ROUND(ROUND(H454*M454*100,6),0),0)</f>
        <v>0</v>
      </c>
    </row>
    <row r="455">
      <c r="I455" t="str">
        <f>IF(A455="","",LEN(A455)&amp;"|"&amp;A455&amp;B455)</f>
        <v/>
      </c>
      <c r="J455">
        <f>IF(A455="",0,IF(D455&lt;=Control!$B$2,1,0))</f>
        <v>0</v>
      </c>
      <c r="K455">
        <f>IF(J455=1,IF(SUMPRODUCT($J$2:$J$501*EXACT($I$2:$I$501,I455)*($C$2:$C$501&gt;C455))=0,1,0),0)</f>
        <v>0</v>
      </c>
      <c r="L455">
        <f>IF(K455=1,IF(EXACT(F455,"posted"),IF(E455&lt;=Control!$B$2,1,0),0),0)</f>
        <v>0</v>
      </c>
      <c r="M455">
        <f>IF(A455="",0,SUMPRODUCT(EXACT(Rates!$A$2:$A$4,G455)*Rates!$B$2:$B$4))</f>
        <v>0</v>
      </c>
      <c r="N455">
        <f>IF(L455=1,ROUND(ROUND(H455*M455*100,6),0),0)</f>
        <v>0</v>
      </c>
    </row>
    <row r="456">
      <c r="I456" t="str">
        <f>IF(A456="","",LEN(A456)&amp;"|"&amp;A456&amp;B456)</f>
        <v/>
      </c>
      <c r="J456">
        <f>IF(A456="",0,IF(D456&lt;=Control!$B$2,1,0))</f>
        <v>0</v>
      </c>
      <c r="K456">
        <f>IF(J456=1,IF(SUMPRODUCT($J$2:$J$501*EXACT($I$2:$I$501,I456)*($C$2:$C$501&gt;C456))=0,1,0),0)</f>
        <v>0</v>
      </c>
      <c r="L456">
        <f>IF(K456=1,IF(EXACT(F456,"posted"),IF(E456&lt;=Control!$B$2,1,0),0),0)</f>
        <v>0</v>
      </c>
      <c r="M456">
        <f>IF(A456="",0,SUMPRODUCT(EXACT(Rates!$A$2:$A$4,G456)*Rates!$B$2:$B$4))</f>
        <v>0</v>
      </c>
      <c r="N456">
        <f>IF(L456=1,ROUND(ROUND(H456*M456*100,6),0),0)</f>
        <v>0</v>
      </c>
    </row>
    <row r="457">
      <c r="I457" t="str">
        <f>IF(A457="","",LEN(A457)&amp;"|"&amp;A457&amp;B457)</f>
        <v/>
      </c>
      <c r="J457">
        <f>IF(A457="",0,IF(D457&lt;=Control!$B$2,1,0))</f>
        <v>0</v>
      </c>
      <c r="K457">
        <f>IF(J457=1,IF(SUMPRODUCT($J$2:$J$501*EXACT($I$2:$I$501,I457)*($C$2:$C$501&gt;C457))=0,1,0),0)</f>
        <v>0</v>
      </c>
      <c r="L457">
        <f>IF(K457=1,IF(EXACT(F457,"posted"),IF(E457&lt;=Control!$B$2,1,0),0),0)</f>
        <v>0</v>
      </c>
      <c r="M457">
        <f>IF(A457="",0,SUMPRODUCT(EXACT(Rates!$A$2:$A$4,G457)*Rates!$B$2:$B$4))</f>
        <v>0</v>
      </c>
      <c r="N457">
        <f>IF(L457=1,ROUND(ROUND(H457*M457*100,6),0),0)</f>
        <v>0</v>
      </c>
    </row>
    <row r="458">
      <c r="I458" t="str">
        <f>IF(A458="","",LEN(A458)&amp;"|"&amp;A458&amp;B458)</f>
        <v/>
      </c>
      <c r="J458">
        <f>IF(A458="",0,IF(D458&lt;=Control!$B$2,1,0))</f>
        <v>0</v>
      </c>
      <c r="K458">
        <f>IF(J458=1,IF(SUMPRODUCT($J$2:$J$501*EXACT($I$2:$I$501,I458)*($C$2:$C$501&gt;C458))=0,1,0),0)</f>
        <v>0</v>
      </c>
      <c r="L458">
        <f>IF(K458=1,IF(EXACT(F458,"posted"),IF(E458&lt;=Control!$B$2,1,0),0),0)</f>
        <v>0</v>
      </c>
      <c r="M458">
        <f>IF(A458="",0,SUMPRODUCT(EXACT(Rates!$A$2:$A$4,G458)*Rates!$B$2:$B$4))</f>
        <v>0</v>
      </c>
      <c r="N458">
        <f>IF(L458=1,ROUND(ROUND(H458*M458*100,6),0),0)</f>
        <v>0</v>
      </c>
    </row>
    <row r="459">
      <c r="I459" t="str">
        <f>IF(A459="","",LEN(A459)&amp;"|"&amp;A459&amp;B459)</f>
        <v/>
      </c>
      <c r="J459">
        <f>IF(A459="",0,IF(D459&lt;=Control!$B$2,1,0))</f>
        <v>0</v>
      </c>
      <c r="K459">
        <f>IF(J459=1,IF(SUMPRODUCT($J$2:$J$501*EXACT($I$2:$I$501,I459)*($C$2:$C$501&gt;C459))=0,1,0),0)</f>
        <v>0</v>
      </c>
      <c r="L459">
        <f>IF(K459=1,IF(EXACT(F459,"posted"),IF(E459&lt;=Control!$B$2,1,0),0),0)</f>
        <v>0</v>
      </c>
      <c r="M459">
        <f>IF(A459="",0,SUMPRODUCT(EXACT(Rates!$A$2:$A$4,G459)*Rates!$B$2:$B$4))</f>
        <v>0</v>
      </c>
      <c r="N459">
        <f>IF(L459=1,ROUND(ROUND(H459*M459*100,6),0),0)</f>
        <v>0</v>
      </c>
    </row>
    <row r="460">
      <c r="I460" t="str">
        <f>IF(A460="","",LEN(A460)&amp;"|"&amp;A460&amp;B460)</f>
        <v/>
      </c>
      <c r="J460">
        <f>IF(A460="",0,IF(D460&lt;=Control!$B$2,1,0))</f>
        <v>0</v>
      </c>
      <c r="K460">
        <f>IF(J460=1,IF(SUMPRODUCT($J$2:$J$501*EXACT($I$2:$I$501,I460)*($C$2:$C$501&gt;C460))=0,1,0),0)</f>
        <v>0</v>
      </c>
      <c r="L460">
        <f>IF(K460=1,IF(EXACT(F460,"posted"),IF(E460&lt;=Control!$B$2,1,0),0),0)</f>
        <v>0</v>
      </c>
      <c r="M460">
        <f>IF(A460="",0,SUMPRODUCT(EXACT(Rates!$A$2:$A$4,G460)*Rates!$B$2:$B$4))</f>
        <v>0</v>
      </c>
      <c r="N460">
        <f>IF(L460=1,ROUND(ROUND(H460*M460*100,6),0),0)</f>
        <v>0</v>
      </c>
    </row>
    <row r="461">
      <c r="I461" t="str">
        <f>IF(A461="","",LEN(A461)&amp;"|"&amp;A461&amp;B461)</f>
        <v/>
      </c>
      <c r="J461">
        <f>IF(A461="",0,IF(D461&lt;=Control!$B$2,1,0))</f>
        <v>0</v>
      </c>
      <c r="K461">
        <f>IF(J461=1,IF(SUMPRODUCT($J$2:$J$501*EXACT($I$2:$I$501,I461)*($C$2:$C$501&gt;C461))=0,1,0),0)</f>
        <v>0</v>
      </c>
      <c r="L461">
        <f>IF(K461=1,IF(EXACT(F461,"posted"),IF(E461&lt;=Control!$B$2,1,0),0),0)</f>
        <v>0</v>
      </c>
      <c r="M461">
        <f>IF(A461="",0,SUMPRODUCT(EXACT(Rates!$A$2:$A$4,G461)*Rates!$B$2:$B$4))</f>
        <v>0</v>
      </c>
      <c r="N461">
        <f>IF(L461=1,ROUND(ROUND(H461*M461*100,6),0),0)</f>
        <v>0</v>
      </c>
    </row>
    <row r="462">
      <c r="I462" t="str">
        <f>IF(A462="","",LEN(A462)&amp;"|"&amp;A462&amp;B462)</f>
        <v/>
      </c>
      <c r="J462">
        <f>IF(A462="",0,IF(D462&lt;=Control!$B$2,1,0))</f>
        <v>0</v>
      </c>
      <c r="K462">
        <f>IF(J462=1,IF(SUMPRODUCT($J$2:$J$501*EXACT($I$2:$I$501,I462)*($C$2:$C$501&gt;C462))=0,1,0),0)</f>
        <v>0</v>
      </c>
      <c r="L462">
        <f>IF(K462=1,IF(EXACT(F462,"posted"),IF(E462&lt;=Control!$B$2,1,0),0),0)</f>
        <v>0</v>
      </c>
      <c r="M462">
        <f>IF(A462="",0,SUMPRODUCT(EXACT(Rates!$A$2:$A$4,G462)*Rates!$B$2:$B$4))</f>
        <v>0</v>
      </c>
      <c r="N462">
        <f>IF(L462=1,ROUND(ROUND(H462*M462*100,6),0),0)</f>
        <v>0</v>
      </c>
    </row>
    <row r="463">
      <c r="I463" t="str">
        <f>IF(A463="","",LEN(A463)&amp;"|"&amp;A463&amp;B463)</f>
        <v/>
      </c>
      <c r="J463">
        <f>IF(A463="",0,IF(D463&lt;=Control!$B$2,1,0))</f>
        <v>0</v>
      </c>
      <c r="K463">
        <f>IF(J463=1,IF(SUMPRODUCT($J$2:$J$501*EXACT($I$2:$I$501,I463)*($C$2:$C$501&gt;C463))=0,1,0),0)</f>
        <v>0</v>
      </c>
      <c r="L463">
        <f>IF(K463=1,IF(EXACT(F463,"posted"),IF(E463&lt;=Control!$B$2,1,0),0),0)</f>
        <v>0</v>
      </c>
      <c r="M463">
        <f>IF(A463="",0,SUMPRODUCT(EXACT(Rates!$A$2:$A$4,G463)*Rates!$B$2:$B$4))</f>
        <v>0</v>
      </c>
      <c r="N463">
        <f>IF(L463=1,ROUND(ROUND(H463*M463*100,6),0),0)</f>
        <v>0</v>
      </c>
    </row>
    <row r="464">
      <c r="I464" t="str">
        <f>IF(A464="","",LEN(A464)&amp;"|"&amp;A464&amp;B464)</f>
        <v/>
      </c>
      <c r="J464">
        <f>IF(A464="",0,IF(D464&lt;=Control!$B$2,1,0))</f>
        <v>0</v>
      </c>
      <c r="K464">
        <f>IF(J464=1,IF(SUMPRODUCT($J$2:$J$501*EXACT($I$2:$I$501,I464)*($C$2:$C$501&gt;C464))=0,1,0),0)</f>
        <v>0</v>
      </c>
      <c r="L464">
        <f>IF(K464=1,IF(EXACT(F464,"posted"),IF(E464&lt;=Control!$B$2,1,0),0),0)</f>
        <v>0</v>
      </c>
      <c r="M464">
        <f>IF(A464="",0,SUMPRODUCT(EXACT(Rates!$A$2:$A$4,G464)*Rates!$B$2:$B$4))</f>
        <v>0</v>
      </c>
      <c r="N464">
        <f>IF(L464=1,ROUND(ROUND(H464*M464*100,6),0),0)</f>
        <v>0</v>
      </c>
    </row>
    <row r="465">
      <c r="I465" t="str">
        <f>IF(A465="","",LEN(A465)&amp;"|"&amp;A465&amp;B465)</f>
        <v/>
      </c>
      <c r="J465">
        <f>IF(A465="",0,IF(D465&lt;=Control!$B$2,1,0))</f>
        <v>0</v>
      </c>
      <c r="K465">
        <f>IF(J465=1,IF(SUMPRODUCT($J$2:$J$501*EXACT($I$2:$I$501,I465)*($C$2:$C$501&gt;C465))=0,1,0),0)</f>
        <v>0</v>
      </c>
      <c r="L465">
        <f>IF(K465=1,IF(EXACT(F465,"posted"),IF(E465&lt;=Control!$B$2,1,0),0),0)</f>
        <v>0</v>
      </c>
      <c r="M465">
        <f>IF(A465="",0,SUMPRODUCT(EXACT(Rates!$A$2:$A$4,G465)*Rates!$B$2:$B$4))</f>
        <v>0</v>
      </c>
      <c r="N465">
        <f>IF(L465=1,ROUND(ROUND(H465*M465*100,6),0),0)</f>
        <v>0</v>
      </c>
    </row>
    <row r="466">
      <c r="I466" t="str">
        <f>IF(A466="","",LEN(A466)&amp;"|"&amp;A466&amp;B466)</f>
        <v/>
      </c>
      <c r="J466">
        <f>IF(A466="",0,IF(D466&lt;=Control!$B$2,1,0))</f>
        <v>0</v>
      </c>
      <c r="K466">
        <f>IF(J466=1,IF(SUMPRODUCT($J$2:$J$501*EXACT($I$2:$I$501,I466)*($C$2:$C$501&gt;C466))=0,1,0),0)</f>
        <v>0</v>
      </c>
      <c r="L466">
        <f>IF(K466=1,IF(EXACT(F466,"posted"),IF(E466&lt;=Control!$B$2,1,0),0),0)</f>
        <v>0</v>
      </c>
      <c r="M466">
        <f>IF(A466="",0,SUMPRODUCT(EXACT(Rates!$A$2:$A$4,G466)*Rates!$B$2:$B$4))</f>
        <v>0</v>
      </c>
      <c r="N466">
        <f>IF(L466=1,ROUND(ROUND(H466*M466*100,6),0),0)</f>
        <v>0</v>
      </c>
    </row>
    <row r="467">
      <c r="I467" t="str">
        <f>IF(A467="","",LEN(A467)&amp;"|"&amp;A467&amp;B467)</f>
        <v/>
      </c>
      <c r="J467">
        <f>IF(A467="",0,IF(D467&lt;=Control!$B$2,1,0))</f>
        <v>0</v>
      </c>
      <c r="K467">
        <f>IF(J467=1,IF(SUMPRODUCT($J$2:$J$501*EXACT($I$2:$I$501,I467)*($C$2:$C$501&gt;C467))=0,1,0),0)</f>
        <v>0</v>
      </c>
      <c r="L467">
        <f>IF(K467=1,IF(EXACT(F467,"posted"),IF(E467&lt;=Control!$B$2,1,0),0),0)</f>
        <v>0</v>
      </c>
      <c r="M467">
        <f>IF(A467="",0,SUMPRODUCT(EXACT(Rates!$A$2:$A$4,G467)*Rates!$B$2:$B$4))</f>
        <v>0</v>
      </c>
      <c r="N467">
        <f>IF(L467=1,ROUND(ROUND(H467*M467*100,6),0),0)</f>
        <v>0</v>
      </c>
    </row>
    <row r="468">
      <c r="I468" t="str">
        <f>IF(A468="","",LEN(A468)&amp;"|"&amp;A468&amp;B468)</f>
        <v/>
      </c>
      <c r="J468">
        <f>IF(A468="",0,IF(D468&lt;=Control!$B$2,1,0))</f>
        <v>0</v>
      </c>
      <c r="K468">
        <f>IF(J468=1,IF(SUMPRODUCT($J$2:$J$501*EXACT($I$2:$I$501,I468)*($C$2:$C$501&gt;C468))=0,1,0),0)</f>
        <v>0</v>
      </c>
      <c r="L468">
        <f>IF(K468=1,IF(EXACT(F468,"posted"),IF(E468&lt;=Control!$B$2,1,0),0),0)</f>
        <v>0</v>
      </c>
      <c r="M468">
        <f>IF(A468="",0,SUMPRODUCT(EXACT(Rates!$A$2:$A$4,G468)*Rates!$B$2:$B$4))</f>
        <v>0</v>
      </c>
      <c r="N468">
        <f>IF(L468=1,ROUND(ROUND(H468*M468*100,6),0),0)</f>
        <v>0</v>
      </c>
    </row>
    <row r="469">
      <c r="I469" t="str">
        <f>IF(A469="","",LEN(A469)&amp;"|"&amp;A469&amp;B469)</f>
        <v/>
      </c>
      <c r="J469">
        <f>IF(A469="",0,IF(D469&lt;=Control!$B$2,1,0))</f>
        <v>0</v>
      </c>
      <c r="K469">
        <f>IF(J469=1,IF(SUMPRODUCT($J$2:$J$501*EXACT($I$2:$I$501,I469)*($C$2:$C$501&gt;C469))=0,1,0),0)</f>
        <v>0</v>
      </c>
      <c r="L469">
        <f>IF(K469=1,IF(EXACT(F469,"posted"),IF(E469&lt;=Control!$B$2,1,0),0),0)</f>
        <v>0</v>
      </c>
      <c r="M469">
        <f>IF(A469="",0,SUMPRODUCT(EXACT(Rates!$A$2:$A$4,G469)*Rates!$B$2:$B$4))</f>
        <v>0</v>
      </c>
      <c r="N469">
        <f>IF(L469=1,ROUND(ROUND(H469*M469*100,6),0),0)</f>
        <v>0</v>
      </c>
    </row>
    <row r="470">
      <c r="I470" t="str">
        <f>IF(A470="","",LEN(A470)&amp;"|"&amp;A470&amp;B470)</f>
        <v/>
      </c>
      <c r="J470">
        <f>IF(A470="",0,IF(D470&lt;=Control!$B$2,1,0))</f>
        <v>0</v>
      </c>
      <c r="K470">
        <f>IF(J470=1,IF(SUMPRODUCT($J$2:$J$501*EXACT($I$2:$I$501,I470)*($C$2:$C$501&gt;C470))=0,1,0),0)</f>
        <v>0</v>
      </c>
      <c r="L470">
        <f>IF(K470=1,IF(EXACT(F470,"posted"),IF(E470&lt;=Control!$B$2,1,0),0),0)</f>
        <v>0</v>
      </c>
      <c r="M470">
        <f>IF(A470="",0,SUMPRODUCT(EXACT(Rates!$A$2:$A$4,G470)*Rates!$B$2:$B$4))</f>
        <v>0</v>
      </c>
      <c r="N470">
        <f>IF(L470=1,ROUND(ROUND(H470*M470*100,6),0),0)</f>
        <v>0</v>
      </c>
    </row>
    <row r="471">
      <c r="I471" t="str">
        <f>IF(A471="","",LEN(A471)&amp;"|"&amp;A471&amp;B471)</f>
        <v/>
      </c>
      <c r="J471">
        <f>IF(A471="",0,IF(D471&lt;=Control!$B$2,1,0))</f>
        <v>0</v>
      </c>
      <c r="K471">
        <f>IF(J471=1,IF(SUMPRODUCT($J$2:$J$501*EXACT($I$2:$I$501,I471)*($C$2:$C$501&gt;C471))=0,1,0),0)</f>
        <v>0</v>
      </c>
      <c r="L471">
        <f>IF(K471=1,IF(EXACT(F471,"posted"),IF(E471&lt;=Control!$B$2,1,0),0),0)</f>
        <v>0</v>
      </c>
      <c r="M471">
        <f>IF(A471="",0,SUMPRODUCT(EXACT(Rates!$A$2:$A$4,G471)*Rates!$B$2:$B$4))</f>
        <v>0</v>
      </c>
      <c r="N471">
        <f>IF(L471=1,ROUND(ROUND(H471*M471*100,6),0),0)</f>
        <v>0</v>
      </c>
    </row>
    <row r="472">
      <c r="I472" t="str">
        <f>IF(A472="","",LEN(A472)&amp;"|"&amp;A472&amp;B472)</f>
        <v/>
      </c>
      <c r="J472">
        <f>IF(A472="",0,IF(D472&lt;=Control!$B$2,1,0))</f>
        <v>0</v>
      </c>
      <c r="K472">
        <f>IF(J472=1,IF(SUMPRODUCT($J$2:$J$501*EXACT($I$2:$I$501,I472)*($C$2:$C$501&gt;C472))=0,1,0),0)</f>
        <v>0</v>
      </c>
      <c r="L472">
        <f>IF(K472=1,IF(EXACT(F472,"posted"),IF(E472&lt;=Control!$B$2,1,0),0),0)</f>
        <v>0</v>
      </c>
      <c r="M472">
        <f>IF(A472="",0,SUMPRODUCT(EXACT(Rates!$A$2:$A$4,G472)*Rates!$B$2:$B$4))</f>
        <v>0</v>
      </c>
      <c r="N472">
        <f>IF(L472=1,ROUND(ROUND(H472*M472*100,6),0),0)</f>
        <v>0</v>
      </c>
    </row>
    <row r="473">
      <c r="I473" t="str">
        <f>IF(A473="","",LEN(A473)&amp;"|"&amp;A473&amp;B473)</f>
        <v/>
      </c>
      <c r="J473">
        <f>IF(A473="",0,IF(D473&lt;=Control!$B$2,1,0))</f>
        <v>0</v>
      </c>
      <c r="K473">
        <f>IF(J473=1,IF(SUMPRODUCT($J$2:$J$501*EXACT($I$2:$I$501,I473)*($C$2:$C$501&gt;C473))=0,1,0),0)</f>
        <v>0</v>
      </c>
      <c r="L473">
        <f>IF(K473=1,IF(EXACT(F473,"posted"),IF(E473&lt;=Control!$B$2,1,0),0),0)</f>
        <v>0</v>
      </c>
      <c r="M473">
        <f>IF(A473="",0,SUMPRODUCT(EXACT(Rates!$A$2:$A$4,G473)*Rates!$B$2:$B$4))</f>
        <v>0</v>
      </c>
      <c r="N473">
        <f>IF(L473=1,ROUND(ROUND(H473*M473*100,6),0),0)</f>
        <v>0</v>
      </c>
    </row>
    <row r="474">
      <c r="I474" t="str">
        <f>IF(A474="","",LEN(A474)&amp;"|"&amp;A474&amp;B474)</f>
        <v/>
      </c>
      <c r="J474">
        <f>IF(A474="",0,IF(D474&lt;=Control!$B$2,1,0))</f>
        <v>0</v>
      </c>
      <c r="K474">
        <f>IF(J474=1,IF(SUMPRODUCT($J$2:$J$501*EXACT($I$2:$I$501,I474)*($C$2:$C$501&gt;C474))=0,1,0),0)</f>
        <v>0</v>
      </c>
      <c r="L474">
        <f>IF(K474=1,IF(EXACT(F474,"posted"),IF(E474&lt;=Control!$B$2,1,0),0),0)</f>
        <v>0</v>
      </c>
      <c r="M474">
        <f>IF(A474="",0,SUMPRODUCT(EXACT(Rates!$A$2:$A$4,G474)*Rates!$B$2:$B$4))</f>
        <v>0</v>
      </c>
      <c r="N474">
        <f>IF(L474=1,ROUND(ROUND(H474*M474*100,6),0),0)</f>
        <v>0</v>
      </c>
    </row>
    <row r="475">
      <c r="I475" t="str">
        <f>IF(A475="","",LEN(A475)&amp;"|"&amp;A475&amp;B475)</f>
        <v/>
      </c>
      <c r="J475">
        <f>IF(A475="",0,IF(D475&lt;=Control!$B$2,1,0))</f>
        <v>0</v>
      </c>
      <c r="K475">
        <f>IF(J475=1,IF(SUMPRODUCT($J$2:$J$501*EXACT($I$2:$I$501,I475)*($C$2:$C$501&gt;C475))=0,1,0),0)</f>
        <v>0</v>
      </c>
      <c r="L475">
        <f>IF(K475=1,IF(EXACT(F475,"posted"),IF(E475&lt;=Control!$B$2,1,0),0),0)</f>
        <v>0</v>
      </c>
      <c r="M475">
        <f>IF(A475="",0,SUMPRODUCT(EXACT(Rates!$A$2:$A$4,G475)*Rates!$B$2:$B$4))</f>
        <v>0</v>
      </c>
      <c r="N475">
        <f>IF(L475=1,ROUND(ROUND(H475*M475*100,6),0),0)</f>
        <v>0</v>
      </c>
    </row>
    <row r="476">
      <c r="I476" t="str">
        <f>IF(A476="","",LEN(A476)&amp;"|"&amp;A476&amp;B476)</f>
        <v/>
      </c>
      <c r="J476">
        <f>IF(A476="",0,IF(D476&lt;=Control!$B$2,1,0))</f>
        <v>0</v>
      </c>
      <c r="K476">
        <f>IF(J476=1,IF(SUMPRODUCT($J$2:$J$501*EXACT($I$2:$I$501,I476)*($C$2:$C$501&gt;C476))=0,1,0),0)</f>
        <v>0</v>
      </c>
      <c r="L476">
        <f>IF(K476=1,IF(EXACT(F476,"posted"),IF(E476&lt;=Control!$B$2,1,0),0),0)</f>
        <v>0</v>
      </c>
      <c r="M476">
        <f>IF(A476="",0,SUMPRODUCT(EXACT(Rates!$A$2:$A$4,G476)*Rates!$B$2:$B$4))</f>
        <v>0</v>
      </c>
      <c r="N476">
        <f>IF(L476=1,ROUND(ROUND(H476*M476*100,6),0),0)</f>
        <v>0</v>
      </c>
    </row>
    <row r="477">
      <c r="I477" t="str">
        <f>IF(A477="","",LEN(A477)&amp;"|"&amp;A477&amp;B477)</f>
        <v/>
      </c>
      <c r="J477">
        <f>IF(A477="",0,IF(D477&lt;=Control!$B$2,1,0))</f>
        <v>0</v>
      </c>
      <c r="K477">
        <f>IF(J477=1,IF(SUMPRODUCT($J$2:$J$501*EXACT($I$2:$I$501,I477)*($C$2:$C$501&gt;C477))=0,1,0),0)</f>
        <v>0</v>
      </c>
      <c r="L477">
        <f>IF(K477=1,IF(EXACT(F477,"posted"),IF(E477&lt;=Control!$B$2,1,0),0),0)</f>
        <v>0</v>
      </c>
      <c r="M477">
        <f>IF(A477="",0,SUMPRODUCT(EXACT(Rates!$A$2:$A$4,G477)*Rates!$B$2:$B$4))</f>
        <v>0</v>
      </c>
      <c r="N477">
        <f>IF(L477=1,ROUND(ROUND(H477*M477*100,6),0),0)</f>
        <v>0</v>
      </c>
    </row>
    <row r="478">
      <c r="I478" t="str">
        <f>IF(A478="","",LEN(A478)&amp;"|"&amp;A478&amp;B478)</f>
        <v/>
      </c>
      <c r="J478">
        <f>IF(A478="",0,IF(D478&lt;=Control!$B$2,1,0))</f>
        <v>0</v>
      </c>
      <c r="K478">
        <f>IF(J478=1,IF(SUMPRODUCT($J$2:$J$501*EXACT($I$2:$I$501,I478)*($C$2:$C$501&gt;C478))=0,1,0),0)</f>
        <v>0</v>
      </c>
      <c r="L478">
        <f>IF(K478=1,IF(EXACT(F478,"posted"),IF(E478&lt;=Control!$B$2,1,0),0),0)</f>
        <v>0</v>
      </c>
      <c r="M478">
        <f>IF(A478="",0,SUMPRODUCT(EXACT(Rates!$A$2:$A$4,G478)*Rates!$B$2:$B$4))</f>
        <v>0</v>
      </c>
      <c r="N478">
        <f>IF(L478=1,ROUND(ROUND(H478*M478*100,6),0),0)</f>
        <v>0</v>
      </c>
    </row>
    <row r="479">
      <c r="I479" t="str">
        <f>IF(A479="","",LEN(A479)&amp;"|"&amp;A479&amp;B479)</f>
        <v/>
      </c>
      <c r="J479">
        <f>IF(A479="",0,IF(D479&lt;=Control!$B$2,1,0))</f>
        <v>0</v>
      </c>
      <c r="K479">
        <f>IF(J479=1,IF(SUMPRODUCT($J$2:$J$501*EXACT($I$2:$I$501,I479)*($C$2:$C$501&gt;C479))=0,1,0),0)</f>
        <v>0</v>
      </c>
      <c r="L479">
        <f>IF(K479=1,IF(EXACT(F479,"posted"),IF(E479&lt;=Control!$B$2,1,0),0),0)</f>
        <v>0</v>
      </c>
      <c r="M479">
        <f>IF(A479="",0,SUMPRODUCT(EXACT(Rates!$A$2:$A$4,G479)*Rates!$B$2:$B$4))</f>
        <v>0</v>
      </c>
      <c r="N479">
        <f>IF(L479=1,ROUND(ROUND(H479*M479*100,6),0),0)</f>
        <v>0</v>
      </c>
    </row>
    <row r="480">
      <c r="I480" t="str">
        <f>IF(A480="","",LEN(A480)&amp;"|"&amp;A480&amp;B480)</f>
        <v/>
      </c>
      <c r="J480">
        <f>IF(A480="",0,IF(D480&lt;=Control!$B$2,1,0))</f>
        <v>0</v>
      </c>
      <c r="K480">
        <f>IF(J480=1,IF(SUMPRODUCT($J$2:$J$501*EXACT($I$2:$I$501,I480)*($C$2:$C$501&gt;C480))=0,1,0),0)</f>
        <v>0</v>
      </c>
      <c r="L480">
        <f>IF(K480=1,IF(EXACT(F480,"posted"),IF(E480&lt;=Control!$B$2,1,0),0),0)</f>
        <v>0</v>
      </c>
      <c r="M480">
        <f>IF(A480="",0,SUMPRODUCT(EXACT(Rates!$A$2:$A$4,G480)*Rates!$B$2:$B$4))</f>
        <v>0</v>
      </c>
      <c r="N480">
        <f>IF(L480=1,ROUND(ROUND(H480*M480*100,6),0),0)</f>
        <v>0</v>
      </c>
    </row>
    <row r="481">
      <c r="I481" t="str">
        <f>IF(A481="","",LEN(A481)&amp;"|"&amp;A481&amp;B481)</f>
        <v/>
      </c>
      <c r="J481">
        <f>IF(A481="",0,IF(D481&lt;=Control!$B$2,1,0))</f>
        <v>0</v>
      </c>
      <c r="K481">
        <f>IF(J481=1,IF(SUMPRODUCT($J$2:$J$501*EXACT($I$2:$I$501,I481)*($C$2:$C$501&gt;C481))=0,1,0),0)</f>
        <v>0</v>
      </c>
      <c r="L481">
        <f>IF(K481=1,IF(EXACT(F481,"posted"),IF(E481&lt;=Control!$B$2,1,0),0),0)</f>
        <v>0</v>
      </c>
      <c r="M481">
        <f>IF(A481="",0,SUMPRODUCT(EXACT(Rates!$A$2:$A$4,G481)*Rates!$B$2:$B$4))</f>
        <v>0</v>
      </c>
      <c r="N481">
        <f>IF(L481=1,ROUND(ROUND(H481*M481*100,6),0),0)</f>
        <v>0</v>
      </c>
    </row>
    <row r="482">
      <c r="I482" t="str">
        <f>IF(A482="","",LEN(A482)&amp;"|"&amp;A482&amp;B482)</f>
        <v/>
      </c>
      <c r="J482">
        <f>IF(A482="",0,IF(D482&lt;=Control!$B$2,1,0))</f>
        <v>0</v>
      </c>
      <c r="K482">
        <f>IF(J482=1,IF(SUMPRODUCT($J$2:$J$501*EXACT($I$2:$I$501,I482)*($C$2:$C$501&gt;C482))=0,1,0),0)</f>
        <v>0</v>
      </c>
      <c r="L482">
        <f>IF(K482=1,IF(EXACT(F482,"posted"),IF(E482&lt;=Control!$B$2,1,0),0),0)</f>
        <v>0</v>
      </c>
      <c r="M482">
        <f>IF(A482="",0,SUMPRODUCT(EXACT(Rates!$A$2:$A$4,G482)*Rates!$B$2:$B$4))</f>
        <v>0</v>
      </c>
      <c r="N482">
        <f>IF(L482=1,ROUND(ROUND(H482*M482*100,6),0),0)</f>
        <v>0</v>
      </c>
    </row>
    <row r="483">
      <c r="I483" t="str">
        <f>IF(A483="","",LEN(A483)&amp;"|"&amp;A483&amp;B483)</f>
        <v/>
      </c>
      <c r="J483">
        <f>IF(A483="",0,IF(D483&lt;=Control!$B$2,1,0))</f>
        <v>0</v>
      </c>
      <c r="K483">
        <f>IF(J483=1,IF(SUMPRODUCT($J$2:$J$501*EXACT($I$2:$I$501,I483)*($C$2:$C$501&gt;C483))=0,1,0),0)</f>
        <v>0</v>
      </c>
      <c r="L483">
        <f>IF(K483=1,IF(EXACT(F483,"posted"),IF(E483&lt;=Control!$B$2,1,0),0),0)</f>
        <v>0</v>
      </c>
      <c r="M483">
        <f>IF(A483="",0,SUMPRODUCT(EXACT(Rates!$A$2:$A$4,G483)*Rates!$B$2:$B$4))</f>
        <v>0</v>
      </c>
      <c r="N483">
        <f>IF(L483=1,ROUND(ROUND(H483*M483*100,6),0),0)</f>
        <v>0</v>
      </c>
    </row>
    <row r="484">
      <c r="I484" t="str">
        <f>IF(A484="","",LEN(A484)&amp;"|"&amp;A484&amp;B484)</f>
        <v/>
      </c>
      <c r="J484">
        <f>IF(A484="",0,IF(D484&lt;=Control!$B$2,1,0))</f>
        <v>0</v>
      </c>
      <c r="K484">
        <f>IF(J484=1,IF(SUMPRODUCT($J$2:$J$501*EXACT($I$2:$I$501,I484)*($C$2:$C$501&gt;C484))=0,1,0),0)</f>
        <v>0</v>
      </c>
      <c r="L484">
        <f>IF(K484=1,IF(EXACT(F484,"posted"),IF(E484&lt;=Control!$B$2,1,0),0),0)</f>
        <v>0</v>
      </c>
      <c r="M484">
        <f>IF(A484="",0,SUMPRODUCT(EXACT(Rates!$A$2:$A$4,G484)*Rates!$B$2:$B$4))</f>
        <v>0</v>
      </c>
      <c r="N484">
        <f>IF(L484=1,ROUND(ROUND(H484*M484*100,6),0),0)</f>
        <v>0</v>
      </c>
    </row>
    <row r="485">
      <c r="I485" t="str">
        <f>IF(A485="","",LEN(A485)&amp;"|"&amp;A485&amp;B485)</f>
        <v/>
      </c>
      <c r="J485">
        <f>IF(A485="",0,IF(D485&lt;=Control!$B$2,1,0))</f>
        <v>0</v>
      </c>
      <c r="K485">
        <f>IF(J485=1,IF(SUMPRODUCT($J$2:$J$501*EXACT($I$2:$I$501,I485)*($C$2:$C$501&gt;C485))=0,1,0),0)</f>
        <v>0</v>
      </c>
      <c r="L485">
        <f>IF(K485=1,IF(EXACT(F485,"posted"),IF(E485&lt;=Control!$B$2,1,0),0),0)</f>
        <v>0</v>
      </c>
      <c r="M485">
        <f>IF(A485="",0,SUMPRODUCT(EXACT(Rates!$A$2:$A$4,G485)*Rates!$B$2:$B$4))</f>
        <v>0</v>
      </c>
      <c r="N485">
        <f>IF(L485=1,ROUND(ROUND(H485*M485*100,6),0),0)</f>
        <v>0</v>
      </c>
    </row>
    <row r="486">
      <c r="I486" t="str">
        <f>IF(A486="","",LEN(A486)&amp;"|"&amp;A486&amp;B486)</f>
        <v/>
      </c>
      <c r="J486">
        <f>IF(A486="",0,IF(D486&lt;=Control!$B$2,1,0))</f>
        <v>0</v>
      </c>
      <c r="K486">
        <f>IF(J486=1,IF(SUMPRODUCT($J$2:$J$501*EXACT($I$2:$I$501,I486)*($C$2:$C$501&gt;C486))=0,1,0),0)</f>
        <v>0</v>
      </c>
      <c r="L486">
        <f>IF(K486=1,IF(EXACT(F486,"posted"),IF(E486&lt;=Control!$B$2,1,0),0),0)</f>
        <v>0</v>
      </c>
      <c r="M486">
        <f>IF(A486="",0,SUMPRODUCT(EXACT(Rates!$A$2:$A$4,G486)*Rates!$B$2:$B$4))</f>
        <v>0</v>
      </c>
      <c r="N486">
        <f>IF(L486=1,ROUND(ROUND(H486*M486*100,6),0),0)</f>
        <v>0</v>
      </c>
    </row>
    <row r="487">
      <c r="I487" t="str">
        <f>IF(A487="","",LEN(A487)&amp;"|"&amp;A487&amp;B487)</f>
        <v/>
      </c>
      <c r="J487">
        <f>IF(A487="",0,IF(D487&lt;=Control!$B$2,1,0))</f>
        <v>0</v>
      </c>
      <c r="K487">
        <f>IF(J487=1,IF(SUMPRODUCT($J$2:$J$501*EXACT($I$2:$I$501,I487)*($C$2:$C$501&gt;C487))=0,1,0),0)</f>
        <v>0</v>
      </c>
      <c r="L487">
        <f>IF(K487=1,IF(EXACT(F487,"posted"),IF(E487&lt;=Control!$B$2,1,0),0),0)</f>
        <v>0</v>
      </c>
      <c r="M487">
        <f>IF(A487="",0,SUMPRODUCT(EXACT(Rates!$A$2:$A$4,G487)*Rates!$B$2:$B$4))</f>
        <v>0</v>
      </c>
      <c r="N487">
        <f>IF(L487=1,ROUND(ROUND(H487*M487*100,6),0),0)</f>
        <v>0</v>
      </c>
    </row>
    <row r="488">
      <c r="I488" t="str">
        <f>IF(A488="","",LEN(A488)&amp;"|"&amp;A488&amp;B488)</f>
        <v/>
      </c>
      <c r="J488">
        <f>IF(A488="",0,IF(D488&lt;=Control!$B$2,1,0))</f>
        <v>0</v>
      </c>
      <c r="K488">
        <f>IF(J488=1,IF(SUMPRODUCT($J$2:$J$501*EXACT($I$2:$I$501,I488)*($C$2:$C$501&gt;C488))=0,1,0),0)</f>
        <v>0</v>
      </c>
      <c r="L488">
        <f>IF(K488=1,IF(EXACT(F488,"posted"),IF(E488&lt;=Control!$B$2,1,0),0),0)</f>
        <v>0</v>
      </c>
      <c r="M488">
        <f>IF(A488="",0,SUMPRODUCT(EXACT(Rates!$A$2:$A$4,G488)*Rates!$B$2:$B$4))</f>
        <v>0</v>
      </c>
      <c r="N488">
        <f>IF(L488=1,ROUND(ROUND(H488*M488*100,6),0),0)</f>
        <v>0</v>
      </c>
    </row>
    <row r="489">
      <c r="I489" t="str">
        <f>IF(A489="","",LEN(A489)&amp;"|"&amp;A489&amp;B489)</f>
        <v/>
      </c>
      <c r="J489">
        <f>IF(A489="",0,IF(D489&lt;=Control!$B$2,1,0))</f>
        <v>0</v>
      </c>
      <c r="K489">
        <f>IF(J489=1,IF(SUMPRODUCT($J$2:$J$501*EXACT($I$2:$I$501,I489)*($C$2:$C$501&gt;C489))=0,1,0),0)</f>
        <v>0</v>
      </c>
      <c r="L489">
        <f>IF(K489=1,IF(EXACT(F489,"posted"),IF(E489&lt;=Control!$B$2,1,0),0),0)</f>
        <v>0</v>
      </c>
      <c r="M489">
        <f>IF(A489="",0,SUMPRODUCT(EXACT(Rates!$A$2:$A$4,G489)*Rates!$B$2:$B$4))</f>
        <v>0</v>
      </c>
      <c r="N489">
        <f>IF(L489=1,ROUND(ROUND(H489*M489*100,6),0),0)</f>
        <v>0</v>
      </c>
    </row>
    <row r="490">
      <c r="I490" t="str">
        <f>IF(A490="","",LEN(A490)&amp;"|"&amp;A490&amp;B490)</f>
        <v/>
      </c>
      <c r="J490">
        <f>IF(A490="",0,IF(D490&lt;=Control!$B$2,1,0))</f>
        <v>0</v>
      </c>
      <c r="K490">
        <f>IF(J490=1,IF(SUMPRODUCT($J$2:$J$501*EXACT($I$2:$I$501,I490)*($C$2:$C$501&gt;C490))=0,1,0),0)</f>
        <v>0</v>
      </c>
      <c r="L490">
        <f>IF(K490=1,IF(EXACT(F490,"posted"),IF(E490&lt;=Control!$B$2,1,0),0),0)</f>
        <v>0</v>
      </c>
      <c r="M490">
        <f>IF(A490="",0,SUMPRODUCT(EXACT(Rates!$A$2:$A$4,G490)*Rates!$B$2:$B$4))</f>
        <v>0</v>
      </c>
      <c r="N490">
        <f>IF(L490=1,ROUND(ROUND(H490*M490*100,6),0),0)</f>
        <v>0</v>
      </c>
    </row>
    <row r="491">
      <c r="I491" t="str">
        <f>IF(A491="","",LEN(A491)&amp;"|"&amp;A491&amp;B491)</f>
        <v/>
      </c>
      <c r="J491">
        <f>IF(A491="",0,IF(D491&lt;=Control!$B$2,1,0))</f>
        <v>0</v>
      </c>
      <c r="K491">
        <f>IF(J491=1,IF(SUMPRODUCT($J$2:$J$501*EXACT($I$2:$I$501,I491)*($C$2:$C$501&gt;C491))=0,1,0),0)</f>
        <v>0</v>
      </c>
      <c r="L491">
        <f>IF(K491=1,IF(EXACT(F491,"posted"),IF(E491&lt;=Control!$B$2,1,0),0),0)</f>
        <v>0</v>
      </c>
      <c r="M491">
        <f>IF(A491="",0,SUMPRODUCT(EXACT(Rates!$A$2:$A$4,G491)*Rates!$B$2:$B$4))</f>
        <v>0</v>
      </c>
      <c r="N491">
        <f>IF(L491=1,ROUND(ROUND(H491*M491*100,6),0),0)</f>
        <v>0</v>
      </c>
    </row>
    <row r="492">
      <c r="I492" t="str">
        <f>IF(A492="","",LEN(A492)&amp;"|"&amp;A492&amp;B492)</f>
        <v/>
      </c>
      <c r="J492">
        <f>IF(A492="",0,IF(D492&lt;=Control!$B$2,1,0))</f>
        <v>0</v>
      </c>
      <c r="K492">
        <f>IF(J492=1,IF(SUMPRODUCT($J$2:$J$501*EXACT($I$2:$I$501,I492)*($C$2:$C$501&gt;C492))=0,1,0),0)</f>
        <v>0</v>
      </c>
      <c r="L492">
        <f>IF(K492=1,IF(EXACT(F492,"posted"),IF(E492&lt;=Control!$B$2,1,0),0),0)</f>
        <v>0</v>
      </c>
      <c r="M492">
        <f>IF(A492="",0,SUMPRODUCT(EXACT(Rates!$A$2:$A$4,G492)*Rates!$B$2:$B$4))</f>
        <v>0</v>
      </c>
      <c r="N492">
        <f>IF(L492=1,ROUND(ROUND(H492*M492*100,6),0),0)</f>
        <v>0</v>
      </c>
    </row>
    <row r="493">
      <c r="I493" t="str">
        <f>IF(A493="","",LEN(A493)&amp;"|"&amp;A493&amp;B493)</f>
        <v/>
      </c>
      <c r="J493">
        <f>IF(A493="",0,IF(D493&lt;=Control!$B$2,1,0))</f>
        <v>0</v>
      </c>
      <c r="K493">
        <f>IF(J493=1,IF(SUMPRODUCT($J$2:$J$501*EXACT($I$2:$I$501,I493)*($C$2:$C$501&gt;C493))=0,1,0),0)</f>
        <v>0</v>
      </c>
      <c r="L493">
        <f>IF(K493=1,IF(EXACT(F493,"posted"),IF(E493&lt;=Control!$B$2,1,0),0),0)</f>
        <v>0</v>
      </c>
      <c r="M493">
        <f>IF(A493="",0,SUMPRODUCT(EXACT(Rates!$A$2:$A$4,G493)*Rates!$B$2:$B$4))</f>
        <v>0</v>
      </c>
      <c r="N493">
        <f>IF(L493=1,ROUND(ROUND(H493*M493*100,6),0),0)</f>
        <v>0</v>
      </c>
    </row>
    <row r="494">
      <c r="I494" t="str">
        <f>IF(A494="","",LEN(A494)&amp;"|"&amp;A494&amp;B494)</f>
        <v/>
      </c>
      <c r="J494">
        <f>IF(A494="",0,IF(D494&lt;=Control!$B$2,1,0))</f>
        <v>0</v>
      </c>
      <c r="K494">
        <f>IF(J494=1,IF(SUMPRODUCT($J$2:$J$501*EXACT($I$2:$I$501,I494)*($C$2:$C$501&gt;C494))=0,1,0),0)</f>
        <v>0</v>
      </c>
      <c r="L494">
        <f>IF(K494=1,IF(EXACT(F494,"posted"),IF(E494&lt;=Control!$B$2,1,0),0),0)</f>
        <v>0</v>
      </c>
      <c r="M494">
        <f>IF(A494="",0,SUMPRODUCT(EXACT(Rates!$A$2:$A$4,G494)*Rates!$B$2:$B$4))</f>
        <v>0</v>
      </c>
      <c r="N494">
        <f>IF(L494=1,ROUND(ROUND(H494*M494*100,6),0),0)</f>
        <v>0</v>
      </c>
    </row>
    <row r="495">
      <c r="I495" t="str">
        <f>IF(A495="","",LEN(A495)&amp;"|"&amp;A495&amp;B495)</f>
        <v/>
      </c>
      <c r="J495">
        <f>IF(A495="",0,IF(D495&lt;=Control!$B$2,1,0))</f>
        <v>0</v>
      </c>
      <c r="K495">
        <f>IF(J495=1,IF(SUMPRODUCT($J$2:$J$501*EXACT($I$2:$I$501,I495)*($C$2:$C$501&gt;C495))=0,1,0),0)</f>
        <v>0</v>
      </c>
      <c r="L495">
        <f>IF(K495=1,IF(EXACT(F495,"posted"),IF(E495&lt;=Control!$B$2,1,0),0),0)</f>
        <v>0</v>
      </c>
      <c r="M495">
        <f>IF(A495="",0,SUMPRODUCT(EXACT(Rates!$A$2:$A$4,G495)*Rates!$B$2:$B$4))</f>
        <v>0</v>
      </c>
      <c r="N495">
        <f>IF(L495=1,ROUND(ROUND(H495*M495*100,6),0),0)</f>
        <v>0</v>
      </c>
    </row>
    <row r="496">
      <c r="I496" t="str">
        <f>IF(A496="","",LEN(A496)&amp;"|"&amp;A496&amp;B496)</f>
        <v/>
      </c>
      <c r="J496">
        <f>IF(A496="",0,IF(D496&lt;=Control!$B$2,1,0))</f>
        <v>0</v>
      </c>
      <c r="K496">
        <f>IF(J496=1,IF(SUMPRODUCT($J$2:$J$501*EXACT($I$2:$I$501,I496)*($C$2:$C$501&gt;C496))=0,1,0),0)</f>
        <v>0</v>
      </c>
      <c r="L496">
        <f>IF(K496=1,IF(EXACT(F496,"posted"),IF(E496&lt;=Control!$B$2,1,0),0),0)</f>
        <v>0</v>
      </c>
      <c r="M496">
        <f>IF(A496="",0,SUMPRODUCT(EXACT(Rates!$A$2:$A$4,G496)*Rates!$B$2:$B$4))</f>
        <v>0</v>
      </c>
      <c r="N496">
        <f>IF(L496=1,ROUND(ROUND(H496*M496*100,6),0),0)</f>
        <v>0</v>
      </c>
    </row>
    <row r="497">
      <c r="I497" t="str">
        <f>IF(A497="","",LEN(A497)&amp;"|"&amp;A497&amp;B497)</f>
        <v/>
      </c>
      <c r="J497">
        <f>IF(A497="",0,IF(D497&lt;=Control!$B$2,1,0))</f>
        <v>0</v>
      </c>
      <c r="K497">
        <f>IF(J497=1,IF(SUMPRODUCT($J$2:$J$501*EXACT($I$2:$I$501,I497)*($C$2:$C$501&gt;C497))=0,1,0),0)</f>
        <v>0</v>
      </c>
      <c r="L497">
        <f>IF(K497=1,IF(EXACT(F497,"posted"),IF(E497&lt;=Control!$B$2,1,0),0),0)</f>
        <v>0</v>
      </c>
      <c r="M497">
        <f>IF(A497="",0,SUMPRODUCT(EXACT(Rates!$A$2:$A$4,G497)*Rates!$B$2:$B$4))</f>
        <v>0</v>
      </c>
      <c r="N497">
        <f>IF(L497=1,ROUND(ROUND(H497*M497*100,6),0),0)</f>
        <v>0</v>
      </c>
    </row>
    <row r="498">
      <c r="I498" t="str">
        <f>IF(A498="","",LEN(A498)&amp;"|"&amp;A498&amp;B498)</f>
        <v/>
      </c>
      <c r="J498">
        <f>IF(A498="",0,IF(D498&lt;=Control!$B$2,1,0))</f>
        <v>0</v>
      </c>
      <c r="K498">
        <f>IF(J498=1,IF(SUMPRODUCT($J$2:$J$501*EXACT($I$2:$I$501,I498)*($C$2:$C$501&gt;C498))=0,1,0),0)</f>
        <v>0</v>
      </c>
      <c r="L498">
        <f>IF(K498=1,IF(EXACT(F498,"posted"),IF(E498&lt;=Control!$B$2,1,0),0),0)</f>
        <v>0</v>
      </c>
      <c r="M498">
        <f>IF(A498="",0,SUMPRODUCT(EXACT(Rates!$A$2:$A$4,G498)*Rates!$B$2:$B$4))</f>
        <v>0</v>
      </c>
      <c r="N498">
        <f>IF(L498=1,ROUND(ROUND(H498*M498*100,6),0),0)</f>
        <v>0</v>
      </c>
    </row>
    <row r="499">
      <c r="I499" t="str">
        <f>IF(A499="","",LEN(A499)&amp;"|"&amp;A499&amp;B499)</f>
        <v/>
      </c>
      <c r="J499">
        <f>IF(A499="",0,IF(D499&lt;=Control!$B$2,1,0))</f>
        <v>0</v>
      </c>
      <c r="K499">
        <f>IF(J499=1,IF(SUMPRODUCT($J$2:$J$501*EXACT($I$2:$I$501,I499)*($C$2:$C$501&gt;C499))=0,1,0),0)</f>
        <v>0</v>
      </c>
      <c r="L499">
        <f>IF(K499=1,IF(EXACT(F499,"posted"),IF(E499&lt;=Control!$B$2,1,0),0),0)</f>
        <v>0</v>
      </c>
      <c r="M499">
        <f>IF(A499="",0,SUMPRODUCT(EXACT(Rates!$A$2:$A$4,G499)*Rates!$B$2:$B$4))</f>
        <v>0</v>
      </c>
      <c r="N499">
        <f>IF(L499=1,ROUND(ROUND(H499*M499*100,6),0),0)</f>
        <v>0</v>
      </c>
    </row>
    <row r="500">
      <c r="I500" t="str">
        <f>IF(A500="","",LEN(A500)&amp;"|"&amp;A500&amp;B500)</f>
        <v/>
      </c>
      <c r="J500">
        <f>IF(A500="",0,IF(D500&lt;=Control!$B$2,1,0))</f>
        <v>0</v>
      </c>
      <c r="K500">
        <f>IF(J500=1,IF(SUMPRODUCT($J$2:$J$501*EXACT($I$2:$I$501,I500)*($C$2:$C$501&gt;C500))=0,1,0),0)</f>
        <v>0</v>
      </c>
      <c r="L500">
        <f>IF(K500=1,IF(EXACT(F500,"posted"),IF(E500&lt;=Control!$B$2,1,0),0),0)</f>
        <v>0</v>
      </c>
      <c r="M500">
        <f>IF(A500="",0,SUMPRODUCT(EXACT(Rates!$A$2:$A$4,G500)*Rates!$B$2:$B$4))</f>
        <v>0</v>
      </c>
      <c r="N500">
        <f>IF(L500=1,ROUND(ROUND(H500*M500*100,6),0),0)</f>
        <v>0</v>
      </c>
    </row>
    <row r="501">
      <c r="I501" t="str">
        <f>IF(A501="","",LEN(A501)&amp;"|"&amp;A501&amp;B501)</f>
        <v/>
      </c>
      <c r="J501">
        <f>IF(A501="",0,IF(D501&lt;=Control!$B$2,1,0))</f>
        <v>0</v>
      </c>
      <c r="K501">
        <f>IF(J501=1,IF(SUMPRODUCT($J$2:$J$501*EXACT($I$2:$I$501,I501)*($C$2:$C$501&gt;C501))=0,1,0),0)</f>
        <v>0</v>
      </c>
      <c r="L501">
        <f>IF(K501=1,IF(EXACT(F501,"posted"),IF(E501&lt;=Control!$B$2,1,0),0),0)</f>
        <v>0</v>
      </c>
      <c r="M501">
        <f>IF(A501="",0,SUMPRODUCT(EXACT(Rates!$A$2:$A$4,G501)*Rates!$B$2:$B$4))</f>
        <v>0</v>
      </c>
      <c r="N501">
        <f>IF(L501=1,ROUND(ROUND(H501*M501*100,6),0),0)</f>
        <v>0</v>
      </c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Program ID</t>
        </is>
      </c>
      <c r="B1" s="1" t="inlineStr">
        <is>
          <t>Program</t>
        </is>
      </c>
      <c r="C1" s="1" t="inlineStr">
        <is>
          <t>Eligible USD</t>
        </is>
      </c>
      <c r="D1" s="1" t="inlineStr">
        <is>
          <t>Fundable cap USD</t>
        </is>
      </c>
      <c r="E1" s="1" t="inlineStr">
        <is>
          <t>Ideal USD</t>
        </is>
      </c>
      <c r="F1" s="1" t="inlineStr">
        <is>
          <t>Award USD</t>
        </is>
      </c>
    </row>
    <row r="2">
      <c r="A2" t="inlineStr">
        <is>
          <t>001</t>
        </is>
      </c>
      <c r="B2" t="str">
        <f>INDEX(Programs!$B$2:$B$9,Calc!B2)</f>
        <v>Food access</v>
      </c>
      <c r="C2" s="7">
        <f>Calc!G2/100</f>
        <v>133.2</v>
      </c>
      <c r="D2" s="7">
        <f>Calc!H2/100</f>
        <v>80</v>
      </c>
      <c r="E2" s="10">
        <f>Calc!K2/100</f>
        <v>80</v>
      </c>
      <c r="F2" s="7">
        <f>ROUND(Calc!P2/100,2)</f>
        <v>80</v>
      </c>
    </row>
    <row r="3">
      <c r="A3" t="inlineStr">
        <is>
          <t>01</t>
        </is>
      </c>
      <c r="B3" t="str">
        <f>INDEX(Programs!$B$2:$B$9,Calc!B3)</f>
        <v>Rent support</v>
      </c>
      <c r="C3" s="7">
        <f>Calc!G3/100</f>
        <v>261</v>
      </c>
      <c r="D3" s="7">
        <f>Calc!H3/100</f>
        <v>180</v>
      </c>
      <c r="E3" s="10">
        <f>Calc!K3/100</f>
        <v>76.265</v>
      </c>
      <c r="F3" s="7">
        <f>ROUND(Calc!P3/100,2)</f>
        <v>76.27</v>
      </c>
    </row>
    <row r="4">
      <c r="A4" t="inlineStr">
        <is>
          <t>1</t>
        </is>
      </c>
      <c r="B4" t="str">
        <f>INDEX(Programs!$B$2:$B$9,Calc!B4)</f>
        <v>Language classes</v>
      </c>
      <c r="C4" s="7">
        <f>Calc!G4/100</f>
        <v>88.8</v>
      </c>
      <c r="D4" s="7">
        <f>Calc!H4/100</f>
        <v>60</v>
      </c>
      <c r="E4" s="10">
        <f>Calc!K4/100</f>
        <v>60</v>
      </c>
      <c r="F4" s="7">
        <f>ROUND(Calc!P4/100,2)</f>
        <v>60</v>
      </c>
    </row>
    <row r="5">
      <c r="A5" t="inlineStr">
        <is>
          <t>010</t>
        </is>
      </c>
      <c r="B5" t="str">
        <f>INDEX(Programs!$B$2:$B$9,Calc!B5)</f>
        <v>Youth skills</v>
      </c>
      <c r="C5" s="7">
        <f>Calc!G5/100</f>
        <v>127.5</v>
      </c>
      <c r="D5" s="7">
        <f>Calc!H5/100</f>
        <v>127.5</v>
      </c>
      <c r="E5" s="10">
        <f>Calc!K5/100</f>
        <v>127.5</v>
      </c>
      <c r="F5" s="7">
        <f>ROUND(Calc!P5/100,2)</f>
        <v>127.5</v>
      </c>
    </row>
    <row r="6">
      <c r="A6" t="inlineStr">
        <is>
          <t>10</t>
        </is>
      </c>
      <c r="B6" t="str">
        <f>INDEX(Programs!$B$2:$B$9,Calc!B6)</f>
        <v>Community health</v>
      </c>
      <c r="C6" s="7">
        <f>Calc!G6/100</f>
        <v>666</v>
      </c>
      <c r="D6" s="7">
        <f>Calc!H6/100</f>
        <v>250</v>
      </c>
      <c r="E6" s="10">
        <f>Calc!K6/100</f>
        <v>250</v>
      </c>
      <c r="F6" s="7">
        <f>ROUND(Calc!P6/100,2)</f>
        <v>250</v>
      </c>
    </row>
    <row r="7">
      <c r="A7" t="inlineStr">
        <is>
          <t>A2</t>
        </is>
      </c>
      <c r="B7" t="str">
        <f>INDEX(Programs!$B$2:$B$9,Calc!B7)</f>
        <v>Local transport</v>
      </c>
      <c r="C7" s="7">
        <f>Calc!G7/100</f>
        <v>192</v>
      </c>
      <c r="D7" s="7">
        <f>Calc!H7/100</f>
        <v>90</v>
      </c>
      <c r="E7" s="10">
        <f>Calc!K7/100</f>
        <v>90</v>
      </c>
      <c r="F7" s="7">
        <f>ROUND(Calc!P7/100,2)</f>
        <v>90</v>
      </c>
    </row>
    <row r="8">
      <c r="A8" t="inlineStr">
        <is>
          <t>A10</t>
        </is>
      </c>
      <c r="B8" t="str">
        <f>INDEX(Programs!$B$2:$B$9,Calc!B8)</f>
        <v>Digital access</v>
      </c>
      <c r="C8" s="7">
        <f>Calc!G8/100</f>
        <v>177.6</v>
      </c>
      <c r="D8" s="7">
        <f>Calc!H8/100</f>
        <v>110</v>
      </c>
      <c r="E8" s="10">
        <f>Calc!K8/100</f>
        <v>76.265</v>
      </c>
      <c r="F8" s="7">
        <f>ROUND(Calc!P8/100,2)</f>
        <v>76.26</v>
      </c>
    </row>
    <row r="9">
      <c r="A9" t="inlineStr">
        <is>
          <t>R&amp;D</t>
        </is>
      </c>
      <c r="B9" t="str">
        <f>INDEX(Programs!$B$2:$B$9,Calc!B9)</f>
        <v>Research and design</v>
      </c>
      <c r="C9" s="7">
        <f>Calc!G9/100</f>
        <v>223.09</v>
      </c>
      <c r="D9" s="7">
        <f>Calc!H9/100</f>
        <v>140</v>
      </c>
      <c r="E9" s="10">
        <f>Calc!K9/100</f>
        <v>140</v>
      </c>
      <c r="F9" s="7">
        <f>ROUND(Calc!P9/100,2)</f>
        <v>140</v>
      </c>
    </row>
    <row r="10">
      <c r="C10" s="7" t="n"/>
      <c r="D10" s="7" t="n"/>
      <c r="E10" s="7" t="n"/>
      <c r="F10" s="7" t="n"/>
    </row>
    <row r="11">
      <c r="C11" s="7" t="n"/>
      <c r="D11" s="7" t="n"/>
      <c r="E11" s="7" t="n"/>
      <c r="F11" s="7" t="n"/>
    </row>
    <row r="12">
      <c r="C12" s="7" t="n"/>
      <c r="D12" s="7" t="n"/>
      <c r="E12" s="7" t="inlineStr">
        <is>
          <t>Total awarded</t>
        </is>
      </c>
      <c r="F12" s="7">
        <f>SUM(F2:F9)</f>
        <v>900.03</v>
      </c>
    </row>
    <row r="13">
      <c r="C13" s="7" t="n"/>
      <c r="D13" s="7" t="n"/>
      <c r="E13" s="7" t="inlineStr">
        <is>
          <t>Unspent authorization</t>
        </is>
      </c>
      <c r="F13" s="7">
        <f>ROUND(Control!$B$3-F12,2)</f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Program</t>
        </is>
      </c>
      <c r="B1" s="1" t="inlineStr">
        <is>
          <t>Prior award USD</t>
        </is>
      </c>
    </row>
    <row r="2">
      <c r="A2" t="inlineStr">
        <is>
          <t>Food access</t>
        </is>
      </c>
      <c r="B2" t="n">
        <v>100</v>
      </c>
    </row>
    <row r="3">
      <c r="A3" t="inlineStr">
        <is>
          <t>Rent support</t>
        </is>
      </c>
      <c r="B3" t="n">
        <v>100</v>
      </c>
    </row>
    <row r="4">
      <c r="A4" t="inlineStr">
        <is>
          <t>Language classes</t>
        </is>
      </c>
      <c r="B4" t="n">
        <v>100</v>
      </c>
    </row>
    <row r="5">
      <c r="A5" t="inlineStr">
        <is>
          <t>Youth skills</t>
        </is>
      </c>
      <c r="B5" t="n">
        <v>100</v>
      </c>
    </row>
    <row r="6">
      <c r="A6" t="inlineStr">
        <is>
          <t>Community health</t>
        </is>
      </c>
      <c r="B6" t="n">
        <v>100</v>
      </c>
    </row>
    <row r="7">
      <c r="A7" t="inlineStr">
        <is>
          <t>Local transport</t>
        </is>
      </c>
      <c r="B7" t="n">
        <v>100</v>
      </c>
    </row>
    <row r="8">
      <c r="A8" t="inlineStr">
        <is>
          <t>Digital access</t>
        </is>
      </c>
      <c r="B8" t="n">
        <v>100</v>
      </c>
    </row>
    <row r="9">
      <c r="A9" t="inlineStr">
        <is>
          <t>Research and design</t>
        </is>
      </c>
      <c r="B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6" customWidth="1" min="18" max="18"/>
    <col width="14" customWidth="1" min="19" max="19"/>
  </cols>
  <sheetData>
    <row r="1">
      <c r="A1" s="8" t="inlineStr">
        <is>
          <t>Program ID</t>
        </is>
      </c>
      <c r="B1" s="8" t="inlineStr">
        <is>
          <t>Programs row</t>
        </is>
      </c>
      <c r="C1" s="8" t="inlineStr">
        <is>
          <t>Weight</t>
        </is>
      </c>
      <c r="D1" s="8" t="inlineStr">
        <is>
          <t>Max award cents</t>
        </is>
      </c>
      <c r="E1" s="8" t="inlineStr">
        <is>
          <t>Approved</t>
        </is>
      </c>
      <c r="F1" s="8" t="inlineStr">
        <is>
          <t>Tie rank</t>
        </is>
      </c>
      <c r="G1" s="8" t="inlineStr">
        <is>
          <t>Eligible cents</t>
        </is>
      </c>
      <c r="H1" s="8" t="inlineStr">
        <is>
          <t>Cap cents</t>
        </is>
      </c>
      <c r="I1" s="8" t="inlineStr">
        <is>
          <t>Saturated</t>
        </is>
      </c>
      <c r="J1" s="8" t="inlineStr">
        <is>
          <t>Share numerator</t>
        </is>
      </c>
      <c r="K1" s="8" t="inlineStr">
        <is>
          <t>Ideal cents</t>
        </is>
      </c>
      <c r="L1" s="8" t="inlineStr">
        <is>
          <t>Floor cents</t>
        </is>
      </c>
      <c r="M1" s="8" t="inlineStr">
        <is>
          <t>Remainder numerator</t>
        </is>
      </c>
      <c r="N1" s="8" t="inlineStr">
        <is>
          <t>Remainder position</t>
        </is>
      </c>
      <c r="O1" s="8" t="inlineStr">
        <is>
          <t>Extra cent</t>
        </is>
      </c>
      <c r="P1" s="8" t="inlineStr">
        <is>
          <t>Award cents</t>
        </is>
      </c>
      <c r="R1" s="8" t="inlineStr">
        <is>
          <t>Parameter</t>
        </is>
      </c>
      <c r="S1" s="8" t="inlineStr">
        <is>
          <t>Value</t>
        </is>
      </c>
    </row>
    <row r="2">
      <c r="A2" t="str">
        <f>Summary!A2</f>
        <v>001</v>
      </c>
      <c r="B2">
        <f>SUMPRODUCT(EXACT(Programs!$A$2:$A$9,A2)*(ROW(Programs!$A$2:$A$9)-1))</f>
        <v>1</v>
      </c>
      <c r="C2">
        <f>INDEX(Programs!$C$2:$C$9,B2)</f>
        <v>2</v>
      </c>
      <c r="D2">
        <f>ROUND(INDEX(Programs!$D$2:$D$9,B2)*100,0)</f>
        <v>8000</v>
      </c>
      <c r="E2">
        <f>IF(EXACT(INDEX(Programs!$E$2:$E$9,B2),"approved"),1,0)</f>
        <v>1</v>
      </c>
      <c r="F2">
        <f>INDEX(Programs!$F$2:$F$9,B2)</f>
        <v>4</v>
      </c>
      <c r="G2">
        <f>SUMPRODUCT(EXACT(Ledger!$A$2:$A$501,A2)*Ledger!$N$2:$N$501)</f>
        <v>13320</v>
      </c>
      <c r="H2">
        <f>IF(E2=1,MAX(0,MIN(D2,G2)),0)</f>
        <v>8000</v>
      </c>
      <c r="I2">
        <f>IF(SUMPRODUCT(($H$2:$H$9*C2&lt;=H2*$C$2:$C$9)*$H$2:$H$9)*C2+H2*SUMPRODUCT(($H$2:$H$9*C2&gt;H2*$C$2:$C$9)*$C$2:$C$9)&lt;=$S$4*C2,1,0)</f>
        <v>1</v>
      </c>
      <c r="J2">
        <f>IF(I2=1,0,($S$4-$S$5)*C2)</f>
        <v>0</v>
      </c>
      <c r="K2">
        <f>IF(I2=1,H2,J2/$S$6)</f>
        <v>8000</v>
      </c>
      <c r="L2">
        <f>IF(I2=1,H2,INT(J2/$S$6))</f>
        <v>8000</v>
      </c>
      <c r="M2">
        <f>IF(I2=1,0,J2-L2*$S$6)</f>
        <v>0</v>
      </c>
      <c r="N2">
        <f>1+SUMPRODUCT(($M$2:$M$9&gt;M2)+($M$2:$M$9=M2)*($F$2:$F$9&lt;F2))</f>
        <v>5</v>
      </c>
      <c r="O2">
        <f>IF(N2&lt;=$S$7,1,0)</f>
        <v>0</v>
      </c>
      <c r="P2">
        <f>L2+O2</f>
        <v>8000</v>
      </c>
      <c r="R2" t="inlineStr">
        <is>
          <t>Budget cents</t>
        </is>
      </c>
      <c r="S2">
        <f>ROUND(Control!$B$3*100,0)</f>
        <v>90003</v>
      </c>
    </row>
    <row r="3">
      <c r="A3" t="str">
        <f>Summary!A3</f>
        <v>01</v>
      </c>
      <c r="B3">
        <f>SUMPRODUCT(EXACT(Programs!$A$2:$A$9,A3)*(ROW(Programs!$A$2:$A$9)-1))</f>
        <v>2</v>
      </c>
      <c r="C3">
        <f>INDEX(Programs!$C$2:$C$9,B3)</f>
        <v>1</v>
      </c>
      <c r="D3">
        <f>ROUND(INDEX(Programs!$D$2:$D$9,B3)*100,0)</f>
        <v>18000</v>
      </c>
      <c r="E3">
        <f>IF(EXACT(INDEX(Programs!$E$2:$E$9,B3),"approved"),1,0)</f>
        <v>1</v>
      </c>
      <c r="F3">
        <f>INDEX(Programs!$F$2:$F$9,B3)</f>
        <v>2</v>
      </c>
      <c r="G3">
        <f>SUMPRODUCT(EXACT(Ledger!$A$2:$A$501,A3)*Ledger!$N$2:$N$501)</f>
        <v>26100</v>
      </c>
      <c r="H3">
        <f>IF(E3=1,MAX(0,MIN(D3,G3)),0)</f>
        <v>18000</v>
      </c>
      <c r="I3">
        <f>IF(SUMPRODUCT(($H$2:$H$9*C3&lt;=H3*$C$2:$C$9)*$H$2:$H$9)*C3+H3*SUMPRODUCT(($H$2:$H$9*C3&gt;H3*$C$2:$C$9)*$C$2:$C$9)&lt;=$S$4*C3,1,0)</f>
        <v>0</v>
      </c>
      <c r="J3">
        <f>IF(I3=1,0,($S$4-$S$5)*C3)</f>
        <v>15253</v>
      </c>
      <c r="K3">
        <f>IF(I3=1,H3,J3/$S$6)</f>
        <v>7626.5</v>
      </c>
      <c r="L3">
        <f>IF(I3=1,H3,INT(J3/$S$6))</f>
        <v>7626</v>
      </c>
      <c r="M3">
        <f>IF(I3=1,0,J3-L3*$S$6)</f>
        <v>1</v>
      </c>
      <c r="N3">
        <f>1+SUMPRODUCT(($M$2:$M$9&gt;M3)+($M$2:$M$9=M3)*($F$2:$F$9&lt;F3))</f>
        <v>1</v>
      </c>
      <c r="O3">
        <f>IF(N3&lt;=$S$7,1,0)</f>
        <v>1</v>
      </c>
      <c r="P3">
        <f>L3+O3</f>
        <v>7627</v>
      </c>
      <c r="R3" t="inlineStr">
        <is>
          <t>Sum of caps (cents)</t>
        </is>
      </c>
      <c r="S3">
        <f>SUM(H2:H9)</f>
        <v>103750</v>
      </c>
    </row>
    <row r="4">
      <c r="A4" t="str">
        <f>Summary!A4</f>
        <v>1</v>
      </c>
      <c r="B4">
        <f>SUMPRODUCT(EXACT(Programs!$A$2:$A$9,A4)*(ROW(Programs!$A$2:$A$9)-1))</f>
        <v>3</v>
      </c>
      <c r="C4">
        <f>INDEX(Programs!$C$2:$C$9,B4)</f>
        <v>3</v>
      </c>
      <c r="D4">
        <f>ROUND(INDEX(Programs!$D$2:$D$9,B4)*100,0)</f>
        <v>6000</v>
      </c>
      <c r="E4">
        <f>IF(EXACT(INDEX(Programs!$E$2:$E$9,B4),"approved"),1,0)</f>
        <v>1</v>
      </c>
      <c r="F4">
        <f>INDEX(Programs!$F$2:$F$9,B4)</f>
        <v>6</v>
      </c>
      <c r="G4">
        <f>SUMPRODUCT(EXACT(Ledger!$A$2:$A$501,A4)*Ledger!$N$2:$N$501)</f>
        <v>8880</v>
      </c>
      <c r="H4">
        <f>IF(E4=1,MAX(0,MIN(D4,G4)),0)</f>
        <v>6000</v>
      </c>
      <c r="I4">
        <f>IF(SUMPRODUCT(($H$2:$H$9*C4&lt;=H4*$C$2:$C$9)*$H$2:$H$9)*C4+H4*SUMPRODUCT(($H$2:$H$9*C4&gt;H4*$C$2:$C$9)*$C$2:$C$9)&lt;=$S$4*C4,1,0)</f>
        <v>1</v>
      </c>
      <c r="J4">
        <f>IF(I4=1,0,($S$4-$S$5)*C4)</f>
        <v>0</v>
      </c>
      <c r="K4">
        <f>IF(I4=1,H4,J4/$S$6)</f>
        <v>6000</v>
      </c>
      <c r="L4">
        <f>IF(I4=1,H4,INT(J4/$S$6))</f>
        <v>6000</v>
      </c>
      <c r="M4">
        <f>IF(I4=1,0,J4-L4*$S$6)</f>
        <v>0</v>
      </c>
      <c r="N4">
        <f>1+SUMPRODUCT(($M$2:$M$9&gt;M4)+($M$2:$M$9=M4)*($F$2:$F$9&lt;F4))</f>
        <v>7</v>
      </c>
      <c r="O4">
        <f>IF(N4&lt;=$S$7,1,0)</f>
        <v>0</v>
      </c>
      <c r="P4">
        <f>L4+O4</f>
        <v>6000</v>
      </c>
      <c r="R4" t="inlineStr">
        <is>
          <t>T distributable (cents)</t>
        </is>
      </c>
      <c r="S4">
        <f>MIN(S2,S3)</f>
        <v>90003</v>
      </c>
    </row>
    <row r="5">
      <c r="A5" t="str">
        <f>Summary!A5</f>
        <v>010</v>
      </c>
      <c r="B5">
        <f>SUMPRODUCT(EXACT(Programs!$A$2:$A$9,A5)*(ROW(Programs!$A$2:$A$9)-1))</f>
        <v>4</v>
      </c>
      <c r="C5">
        <f>INDEX(Programs!$C$2:$C$9,B5)</f>
        <v>2</v>
      </c>
      <c r="D5">
        <f>ROUND(INDEX(Programs!$D$2:$D$9,B5)*100,0)</f>
        <v>13000</v>
      </c>
      <c r="E5">
        <f>IF(EXACT(INDEX(Programs!$E$2:$E$9,B5),"approved"),1,0)</f>
        <v>1</v>
      </c>
      <c r="F5">
        <f>INDEX(Programs!$F$2:$F$9,B5)</f>
        <v>1</v>
      </c>
      <c r="G5">
        <f>SUMPRODUCT(EXACT(Ledger!$A$2:$A$501,A5)*Ledger!$N$2:$N$501)</f>
        <v>12750</v>
      </c>
      <c r="H5">
        <f>IF(E5=1,MAX(0,MIN(D5,G5)),0)</f>
        <v>12750</v>
      </c>
      <c r="I5">
        <f>IF(SUMPRODUCT(($H$2:$H$9*C5&lt;=H5*$C$2:$C$9)*$H$2:$H$9)*C5+H5*SUMPRODUCT(($H$2:$H$9*C5&gt;H5*$C$2:$C$9)*$C$2:$C$9)&lt;=$S$4*C5,1,0)</f>
        <v>1</v>
      </c>
      <c r="J5">
        <f>IF(I5=1,0,($S$4-$S$5)*C5)</f>
        <v>0</v>
      </c>
      <c r="K5">
        <f>IF(I5=1,H5,J5/$S$6)</f>
        <v>12750</v>
      </c>
      <c r="L5">
        <f>IF(I5=1,H5,INT(J5/$S$6))</f>
        <v>12750</v>
      </c>
      <c r="M5">
        <f>IF(I5=1,0,J5-L5*$S$6)</f>
        <v>0</v>
      </c>
      <c r="N5">
        <f>1+SUMPRODUCT(($M$2:$M$9&gt;M5)+($M$2:$M$9=M5)*($F$2:$F$9&lt;F5))</f>
        <v>3</v>
      </c>
      <c r="O5">
        <f>IF(N5&lt;=$S$7,1,0)</f>
        <v>0</v>
      </c>
      <c r="P5">
        <f>L5+O5</f>
        <v>12750</v>
      </c>
      <c r="R5" t="inlineStr">
        <is>
          <t>Saturated caps (cents)</t>
        </is>
      </c>
      <c r="S5">
        <f>SUMPRODUCT(I2:I9,H2:H9)</f>
        <v>74750</v>
      </c>
    </row>
    <row r="6">
      <c r="A6" t="str">
        <f>Summary!A6</f>
        <v>10</v>
      </c>
      <c r="B6">
        <f>SUMPRODUCT(EXACT(Programs!$A$2:$A$9,A6)*(ROW(Programs!$A$2:$A$9)-1))</f>
        <v>5</v>
      </c>
      <c r="C6">
        <f>INDEX(Programs!$C$2:$C$9,B6)</f>
        <v>4</v>
      </c>
      <c r="D6">
        <f>ROUND(INDEX(Programs!$D$2:$D$9,B6)*100,0)</f>
        <v>25000</v>
      </c>
      <c r="E6">
        <f>IF(EXACT(INDEX(Programs!$E$2:$E$9,B6),"approved"),1,0)</f>
        <v>1</v>
      </c>
      <c r="F6">
        <f>INDEX(Programs!$F$2:$F$9,B6)</f>
        <v>7</v>
      </c>
      <c r="G6">
        <f>SUMPRODUCT(EXACT(Ledger!$A$2:$A$501,A6)*Ledger!$N$2:$N$501)</f>
        <v>66600</v>
      </c>
      <c r="H6">
        <f>IF(E6=1,MAX(0,MIN(D6,G6)),0)</f>
        <v>25000</v>
      </c>
      <c r="I6">
        <f>IF(SUMPRODUCT(($H$2:$H$9*C6&lt;=H6*$C$2:$C$9)*$H$2:$H$9)*C6+H6*SUMPRODUCT(($H$2:$H$9*C6&gt;H6*$C$2:$C$9)*$C$2:$C$9)&lt;=$S$4*C6,1,0)</f>
        <v>1</v>
      </c>
      <c r="J6">
        <f>IF(I6=1,0,($S$4-$S$5)*C6)</f>
        <v>0</v>
      </c>
      <c r="K6">
        <f>IF(I6=1,H6,J6/$S$6)</f>
        <v>25000</v>
      </c>
      <c r="L6">
        <f>IF(I6=1,H6,INT(J6/$S$6))</f>
        <v>25000</v>
      </c>
      <c r="M6">
        <f>IF(I6=1,0,J6-L6*$S$6)</f>
        <v>0</v>
      </c>
      <c r="N6">
        <f>1+SUMPRODUCT(($M$2:$M$9&gt;M6)+($M$2:$M$9=M6)*($F$2:$F$9&lt;F6))</f>
        <v>8</v>
      </c>
      <c r="O6">
        <f>IF(N6&lt;=$S$7,1,0)</f>
        <v>0</v>
      </c>
      <c r="P6">
        <f>L6+O6</f>
        <v>25000</v>
      </c>
      <c r="R6" t="inlineStr">
        <is>
          <t>Unsaturated weight</t>
        </is>
      </c>
      <c r="S6">
        <f>SUMPRODUCT(1-I2:I9,C2:C9)</f>
        <v>2</v>
      </c>
    </row>
    <row r="7">
      <c r="A7" t="str">
        <f>Summary!A7</f>
        <v>A2</v>
      </c>
      <c r="B7">
        <f>SUMPRODUCT(EXACT(Programs!$A$2:$A$9,A7)*(ROW(Programs!$A$2:$A$9)-1))</f>
        <v>6</v>
      </c>
      <c r="C7">
        <f>INDEX(Programs!$C$2:$C$9,B7)</f>
        <v>2</v>
      </c>
      <c r="D7">
        <f>ROUND(INDEX(Programs!$D$2:$D$9,B7)*100,0)</f>
        <v>9000</v>
      </c>
      <c r="E7">
        <f>IF(EXACT(INDEX(Programs!$E$2:$E$9,B7),"approved"),1,0)</f>
        <v>1</v>
      </c>
      <c r="F7">
        <f>INDEX(Programs!$F$2:$F$9,B7)</f>
        <v>3</v>
      </c>
      <c r="G7">
        <f>SUMPRODUCT(EXACT(Ledger!$A$2:$A$501,A7)*Ledger!$N$2:$N$501)</f>
        <v>19200</v>
      </c>
      <c r="H7">
        <f>IF(E7=1,MAX(0,MIN(D7,G7)),0)</f>
        <v>9000</v>
      </c>
      <c r="I7">
        <f>IF(SUMPRODUCT(($H$2:$H$9*C7&lt;=H7*$C$2:$C$9)*$H$2:$H$9)*C7+H7*SUMPRODUCT(($H$2:$H$9*C7&gt;H7*$C$2:$C$9)*$C$2:$C$9)&lt;=$S$4*C7,1,0)</f>
        <v>1</v>
      </c>
      <c r="J7">
        <f>IF(I7=1,0,($S$4-$S$5)*C7)</f>
        <v>0</v>
      </c>
      <c r="K7">
        <f>IF(I7=1,H7,J7/$S$6)</f>
        <v>9000</v>
      </c>
      <c r="L7">
        <f>IF(I7=1,H7,INT(J7/$S$6))</f>
        <v>9000</v>
      </c>
      <c r="M7">
        <f>IF(I7=1,0,J7-L7*$S$6)</f>
        <v>0</v>
      </c>
      <c r="N7">
        <f>1+SUMPRODUCT(($M$2:$M$9&gt;M7)+($M$2:$M$9=M7)*($F$2:$F$9&lt;F7))</f>
        <v>4</v>
      </c>
      <c r="O7">
        <f>IF(N7&lt;=$S$7,1,0)</f>
        <v>0</v>
      </c>
      <c r="P7">
        <f>L7+O7</f>
        <v>9000</v>
      </c>
      <c r="R7" t="inlineStr">
        <is>
          <t>Leftover cents</t>
        </is>
      </c>
      <c r="S7">
        <f>S4-SUM(L2:L9)</f>
        <v>1</v>
      </c>
    </row>
    <row r="8">
      <c r="A8" t="str">
        <f>Summary!A8</f>
        <v>A10</v>
      </c>
      <c r="B8">
        <f>SUMPRODUCT(EXACT(Programs!$A$2:$A$9,A8)*(ROW(Programs!$A$2:$A$9)-1))</f>
        <v>7</v>
      </c>
      <c r="C8">
        <f>INDEX(Programs!$C$2:$C$9,B8)</f>
        <v>1</v>
      </c>
      <c r="D8">
        <f>ROUND(INDEX(Programs!$D$2:$D$9,B8)*100,0)</f>
        <v>11000</v>
      </c>
      <c r="E8">
        <f>IF(EXACT(INDEX(Programs!$E$2:$E$9,B8),"approved"),1,0)</f>
        <v>1</v>
      </c>
      <c r="F8">
        <f>INDEX(Programs!$F$2:$F$9,B8)</f>
        <v>8</v>
      </c>
      <c r="G8">
        <f>SUMPRODUCT(EXACT(Ledger!$A$2:$A$501,A8)*Ledger!$N$2:$N$501)</f>
        <v>17760</v>
      </c>
      <c r="H8">
        <f>IF(E8=1,MAX(0,MIN(D8,G8)),0)</f>
        <v>11000</v>
      </c>
      <c r="I8">
        <f>IF(SUMPRODUCT(($H$2:$H$9*C8&lt;=H8*$C$2:$C$9)*$H$2:$H$9)*C8+H8*SUMPRODUCT(($H$2:$H$9*C8&gt;H8*$C$2:$C$9)*$C$2:$C$9)&lt;=$S$4*C8,1,0)</f>
        <v>0</v>
      </c>
      <c r="J8">
        <f>IF(I8=1,0,($S$4-$S$5)*C8)</f>
        <v>15253</v>
      </c>
      <c r="K8">
        <f>IF(I8=1,H8,J8/$S$6)</f>
        <v>7626.5</v>
      </c>
      <c r="L8">
        <f>IF(I8=1,H8,INT(J8/$S$6))</f>
        <v>7626</v>
      </c>
      <c r="M8">
        <f>IF(I8=1,0,J8-L8*$S$6)</f>
        <v>1</v>
      </c>
      <c r="N8">
        <f>1+SUMPRODUCT(($M$2:$M$9&gt;M8)+($M$2:$M$9=M8)*($F$2:$F$9&lt;F8))</f>
        <v>2</v>
      </c>
      <c r="O8">
        <f>IF(N8&lt;=$S$7,1,0)</f>
        <v>0</v>
      </c>
      <c r="P8">
        <f>L8+O8</f>
        <v>7626</v>
      </c>
      <c r="R8" t="inlineStr">
        <is>
          <t>Check: awards = T</t>
        </is>
      </c>
      <c r="S8" t="str">
        <f>IF(SUM(P2:P9)=S4,"OK","ERROR")</f>
        <v>OK</v>
      </c>
    </row>
    <row r="9">
      <c r="A9" t="str">
        <f>Summary!A9</f>
        <v>R&amp;D</v>
      </c>
      <c r="B9">
        <f>SUMPRODUCT(EXACT(Programs!$A$2:$A$9,A9)*(ROW(Programs!$A$2:$A$9)-1))</f>
        <v>8</v>
      </c>
      <c r="C9">
        <f>INDEX(Programs!$C$2:$C$9,B9)</f>
        <v>3</v>
      </c>
      <c r="D9">
        <f>ROUND(INDEX(Programs!$D$2:$D$9,B9)*100,0)</f>
        <v>14000</v>
      </c>
      <c r="E9">
        <f>IF(EXACT(INDEX(Programs!$E$2:$E$9,B9),"approved"),1,0)</f>
        <v>1</v>
      </c>
      <c r="F9">
        <f>INDEX(Programs!$F$2:$F$9,B9)</f>
        <v>5</v>
      </c>
      <c r="G9">
        <f>SUMPRODUCT(EXACT(Ledger!$A$2:$A$501,A9)*Ledger!$N$2:$N$501)</f>
        <v>22309</v>
      </c>
      <c r="H9">
        <f>IF(E9=1,MAX(0,MIN(D9,G9)),0)</f>
        <v>14000</v>
      </c>
      <c r="I9">
        <f>IF(SUMPRODUCT(($H$2:$H$9*C9&lt;=H9*$C$2:$C$9)*$H$2:$H$9)*C9+H9*SUMPRODUCT(($H$2:$H$9*C9&gt;H9*$C$2:$C$9)*$C$2:$C$9)&lt;=$S$4*C9,1,0)</f>
        <v>1</v>
      </c>
      <c r="J9">
        <f>IF(I9=1,0,($S$4-$S$5)*C9)</f>
        <v>0</v>
      </c>
      <c r="K9">
        <f>IF(I9=1,H9,J9/$S$6)</f>
        <v>14000</v>
      </c>
      <c r="L9">
        <f>IF(I9=1,H9,INT(J9/$S$6))</f>
        <v>14000</v>
      </c>
      <c r="M9">
        <f>IF(I9=1,0,J9-L9*$S$6)</f>
        <v>0</v>
      </c>
      <c r="N9">
        <f>1+SUMPRODUCT(($M$2:$M$9&gt;M9)+($M$2:$M$9=M9)*($F$2:$F$9&lt;F9))</f>
        <v>6</v>
      </c>
      <c r="O9">
        <f>IF(N9&lt;=$S$7,1,0)</f>
        <v>0</v>
      </c>
      <c r="P9">
        <f>L9+O9</f>
        <v>14000</v>
      </c>
      <c r="R9" t="inlineStr">
        <is>
          <t>Check: 0&lt;=award&lt;=cap</t>
        </is>
      </c>
      <c r="S9" t="str">
        <f>IF(SUMPRODUCT((P2:P9&lt;0)+(P2:P9&gt;H2:H9))=0,"OK","ERROR")</f>
        <v>OK</v>
      </c>
    </row>
    <row r="10">
      <c r="R10" t="inlineStr">
        <is>
          <t>Check: program IDs found</t>
        </is>
      </c>
      <c r="S10" t="str">
        <f>IF(COUNTIF(B2:B9,"&gt;0")=8,"OK","ERROR")</f>
        <v>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2026-10-23T16:59:02Z</dcterms:created>
  <dcterms:modified xsi:type="dcterms:W3CDTF">2026-10-23T17:08:10Z</dcterms:modified>
</cp:coreProperties>
</file>