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Jan-Dec 2026 forecast drivers and linked schedules using the combined Harbor instruction. The CFO revision replaces the original growth-rate revenue method with customer-cohort forecasting. Deliver only the revised final model.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contains immutable Oct-Dec 2025 actuals. The CFO revision activates Cohorts; legacy growth stays populated but unused.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Deliver /app/output/Northstar_Forecast_Completed.xlsx and /app/output/handoff.json. Cached formula values are optional: the verifier recalculates a disposable copy. Read the combined instruction for active requirements and sensitivity cases.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E25*(1-Drivers!F10)*(1+Drivers!F15)</f>
        <v/>
      </c>
      <c r="G25" s="23">
        <f>F25*(1-Drivers!G10)*(1+Drivers!G15)</f>
        <v/>
      </c>
      <c r="H25" s="23">
        <f>G25*(1-Drivers!H10)*(1+Drivers!H15)</f>
        <v/>
      </c>
      <c r="I25" s="23">
        <f>H25*(1-Drivers!I10)*(1+Drivers!I15)</f>
        <v/>
      </c>
      <c r="J25" s="23">
        <f>I25*(1-Drivers!J10)*(1+Drivers!J15)</f>
        <v/>
      </c>
      <c r="K25" s="23">
        <f>J25*(1-Drivers!K10)*(1+Drivers!K15)</f>
        <v/>
      </c>
      <c r="L25" s="23">
        <f>K25*(1-Drivers!L10)*(1+Drivers!L15)</f>
        <v/>
      </c>
      <c r="M25" s="23">
        <f>L25*(1-Drivers!M10)*(1+Drivers!M15)</f>
        <v/>
      </c>
      <c r="N25" s="23">
        <f>M25*(1-Drivers!N10)*(1+Drivers!N15)</f>
        <v/>
      </c>
      <c r="O25" s="23">
        <f>N25*(1-Drivers!O10)*(1+Drivers!O15)</f>
        <v/>
      </c>
      <c r="P25" s="23">
        <f>O25*(1-Drivers!P10)*(1+Drivers!P15)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E26*(1-Drivers!F11)*(1+Drivers!F15)</f>
        <v/>
      </c>
      <c r="G26" s="23">
        <f>F26*(1-Drivers!G11)*(1+Drivers!G15)</f>
        <v/>
      </c>
      <c r="H26" s="23">
        <f>G26*(1-Drivers!H11)*(1+Drivers!H15)</f>
        <v/>
      </c>
      <c r="I26" s="23">
        <f>H26*(1-Drivers!I11)*(1+Drivers!I15)</f>
        <v/>
      </c>
      <c r="J26" s="23">
        <f>I26*(1-Drivers!J11)*(1+Drivers!J15)</f>
        <v/>
      </c>
      <c r="K26" s="23">
        <f>J26*(1-Drivers!K11)*(1+Drivers!K15)</f>
        <v/>
      </c>
      <c r="L26" s="23">
        <f>K26*(1-Drivers!L11)*(1+Drivers!L15)</f>
        <v/>
      </c>
      <c r="M26" s="23">
        <f>L26*(1-Drivers!M11)*(1+Drivers!M15)</f>
        <v/>
      </c>
      <c r="N26" s="23">
        <f>M26*(1-Drivers!N11)*(1+Drivers!N15)</f>
        <v/>
      </c>
      <c r="O26" s="23">
        <f>N26*(1-Drivers!O11)*(1+Drivers!O15)</f>
        <v/>
      </c>
      <c r="P26" s="23">
        <f>O26*(1-Drivers!P11)*(1+Drivers!P15)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F27*(1-Drivers!G11)*(1+Drivers!G15)</f>
        <v/>
      </c>
      <c r="H27" s="23">
        <f>G27*(1-Drivers!H11)*(1+Drivers!H15)</f>
        <v/>
      </c>
      <c r="I27" s="23">
        <f>H27*(1-Drivers!I11)*(1+Drivers!I15)</f>
        <v/>
      </c>
      <c r="J27" s="23">
        <f>I27*(1-Drivers!J11)*(1+Drivers!J15)</f>
        <v/>
      </c>
      <c r="K27" s="23">
        <f>J27*(1-Drivers!K11)*(1+Drivers!K15)</f>
        <v/>
      </c>
      <c r="L27" s="23">
        <f>K27*(1-Drivers!L11)*(1+Drivers!L15)</f>
        <v/>
      </c>
      <c r="M27" s="23">
        <f>L27*(1-Drivers!M11)*(1+Drivers!M15)</f>
        <v/>
      </c>
      <c r="N27" s="23">
        <f>M27*(1-Drivers!N11)*(1+Drivers!N15)</f>
        <v/>
      </c>
      <c r="O27" s="23">
        <f>N27*(1-Drivers!O11)*(1+Drivers!O15)</f>
        <v/>
      </c>
      <c r="P27" s="23">
        <f>O27*(1-Drivers!P11)*(1+Drivers!P15)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G28*(1-Drivers!H11)*(1+Drivers!H15)</f>
        <v/>
      </c>
      <c r="I28" s="23">
        <f>H28*(1-Drivers!I11)*(1+Drivers!I15)</f>
        <v/>
      </c>
      <c r="J28" s="23">
        <f>I28*(1-Drivers!J11)*(1+Drivers!J15)</f>
        <v/>
      </c>
      <c r="K28" s="23">
        <f>J28*(1-Drivers!K11)*(1+Drivers!K15)</f>
        <v/>
      </c>
      <c r="L28" s="23">
        <f>K28*(1-Drivers!L11)*(1+Drivers!L15)</f>
        <v/>
      </c>
      <c r="M28" s="23">
        <f>L28*(1-Drivers!M11)*(1+Drivers!M15)</f>
        <v/>
      </c>
      <c r="N28" s="23">
        <f>M28*(1-Drivers!N11)*(1+Drivers!N15)</f>
        <v/>
      </c>
      <c r="O28" s="23">
        <f>N28*(1-Drivers!O11)*(1+Drivers!O15)</f>
        <v/>
      </c>
      <c r="P28" s="23">
        <f>O28*(1-Drivers!P11)*(1+Drivers!P15)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H29*(1-Drivers!I11)*(1+Drivers!I15)</f>
        <v/>
      </c>
      <c r="J29" s="23">
        <f>I29*(1-Drivers!J11)*(1+Drivers!J15)</f>
        <v/>
      </c>
      <c r="K29" s="23">
        <f>J29*(1-Drivers!K11)*(1+Drivers!K15)</f>
        <v/>
      </c>
      <c r="L29" s="23">
        <f>K29*(1-Drivers!L11)*(1+Drivers!L15)</f>
        <v/>
      </c>
      <c r="M29" s="23">
        <f>L29*(1-Drivers!M11)*(1+Drivers!M15)</f>
        <v/>
      </c>
      <c r="N29" s="23">
        <f>M29*(1-Drivers!N11)*(1+Drivers!N15)</f>
        <v/>
      </c>
      <c r="O29" s="23">
        <f>N29*(1-Drivers!O11)*(1+Drivers!O15)</f>
        <v/>
      </c>
      <c r="P29" s="23">
        <f>O29*(1-Drivers!P11)*(1+Drivers!P15)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I30*(1-Drivers!J11)*(1+Drivers!J15)</f>
        <v/>
      </c>
      <c r="K30" s="23">
        <f>J30*(1-Drivers!K11)*(1+Drivers!K15)</f>
        <v/>
      </c>
      <c r="L30" s="23">
        <f>K30*(1-Drivers!L11)*(1+Drivers!L15)</f>
        <v/>
      </c>
      <c r="M30" s="23">
        <f>L30*(1-Drivers!M11)*(1+Drivers!M15)</f>
        <v/>
      </c>
      <c r="N30" s="23">
        <f>M30*(1-Drivers!N11)*(1+Drivers!N15)</f>
        <v/>
      </c>
      <c r="O30" s="23">
        <f>N30*(1-Drivers!O11)*(1+Drivers!O15)</f>
        <v/>
      </c>
      <c r="P30" s="23">
        <f>O30*(1-Drivers!P11)*(1+Drivers!P15)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J31*(1-Drivers!K11)*(1+Drivers!K15)</f>
        <v/>
      </c>
      <c r="L31" s="23">
        <f>K31*(1-Drivers!L11)*(1+Drivers!L15)</f>
        <v/>
      </c>
      <c r="M31" s="23">
        <f>L31*(1-Drivers!M11)*(1+Drivers!M15)</f>
        <v/>
      </c>
      <c r="N31" s="23">
        <f>M31*(1-Drivers!N11)*(1+Drivers!N15)</f>
        <v/>
      </c>
      <c r="O31" s="23">
        <f>N31*(1-Drivers!O11)*(1+Drivers!O15)</f>
        <v/>
      </c>
      <c r="P31" s="23">
        <f>O31*(1-Drivers!P11)*(1+Drivers!P15)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K32*(1-Drivers!L11)*(1+Drivers!L15)</f>
        <v/>
      </c>
      <c r="M32" s="23">
        <f>L32*(1-Drivers!M11)*(1+Drivers!M15)</f>
        <v/>
      </c>
      <c r="N32" s="23">
        <f>M32*(1-Drivers!N11)*(1+Drivers!N15)</f>
        <v/>
      </c>
      <c r="O32" s="23">
        <f>N32*(1-Drivers!O11)*(1+Drivers!O15)</f>
        <v/>
      </c>
      <c r="P32" s="23">
        <f>O32*(1-Drivers!P11)*(1+Drivers!P15)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L33*(1-Drivers!M11)*(1+Drivers!M15)</f>
        <v/>
      </c>
      <c r="N33" s="23">
        <f>M33*(1-Drivers!N11)*(1+Drivers!N15)</f>
        <v/>
      </c>
      <c r="O33" s="23">
        <f>N33*(1-Drivers!O11)*(1+Drivers!O15)</f>
        <v/>
      </c>
      <c r="P33" s="23">
        <f>O33*(1-Drivers!P11)*(1+Drivers!P15)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M34*(1-Drivers!N11)*(1+Drivers!N15)</f>
        <v/>
      </c>
      <c r="O34" s="23">
        <f>N34*(1-Drivers!O11)*(1+Drivers!O15)</f>
        <v/>
      </c>
      <c r="P34" s="23">
        <f>O34*(1-Drivers!P11)*(1+Drivers!P15)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N35*(1-Drivers!O11)*(1+Drivers!O15)</f>
        <v/>
      </c>
      <c r="P35" s="23">
        <f>O35*(1-Drivers!P11)*(1+Drivers!P15)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O36*(1-Drivers!P11)*(1+Drivers!P15)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  <v/>
      </c>
      <c r="F8" s="23">
        <f>Cohorts!F38</f>
        <v/>
      </c>
      <c r="G8" s="23">
        <f>Cohorts!G38</f>
        <v/>
      </c>
      <c r="H8" s="23">
        <f>Cohorts!H38</f>
        <v/>
      </c>
      <c r="I8" s="23">
        <f>Cohorts!I38</f>
        <v/>
      </c>
      <c r="J8" s="23">
        <f>Cohorts!J38</f>
        <v/>
      </c>
      <c r="K8" s="23">
        <f>Cohorts!K38</f>
        <v/>
      </c>
      <c r="L8" s="23">
        <f>Cohorts!L38</f>
        <v/>
      </c>
      <c r="M8" s="23">
        <f>Cohorts!M38</f>
        <v/>
      </c>
      <c r="N8" s="23">
        <f>Cohorts!N38</f>
        <v/>
      </c>
      <c r="O8" s="23">
        <f>Cohorts!O38</f>
        <v/>
      </c>
      <c r="P8" s="23">
        <f>Cohorts!P38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2026-10-23T14:34:46Z</dcterms:modified>
  <cp:lastModifiedBy>Finance Operations</cp:lastModifiedBy>
</cp:coreProperties>
</file>