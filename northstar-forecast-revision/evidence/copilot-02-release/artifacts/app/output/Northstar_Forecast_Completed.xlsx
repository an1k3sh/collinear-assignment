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Jan-Dec 2026 forecast drivers and linked schedules using the combined Harbor instruction. The CFO revision replaces the original growth-rate revenue method with customer-cohort forecasting. Deliver only the revised final model.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contains immutable Oct-Dec 2025 actuals. The CFO revision activates Cohorts; legacy growth stays populated but unused.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Deliver /app/output/Northstar_Forecast_Completed.xlsx and /app/output/handoff.json. Cached formula values are optional: the verifier recalculates a disposable copy. Read the combined instruction for active requirements and sensitivity cases.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</c>
      <c r="F8" s="22">
        <f>E8*(1-Drivers!F10)</f>
      </c>
      <c r="G8" s="22">
        <f>F8*(1-Drivers!G10)</f>
      </c>
      <c r="H8" s="22">
        <f>G8*(1-Drivers!H10)</f>
      </c>
      <c r="I8" s="22">
        <f>H8*(1-Drivers!I10)</f>
      </c>
      <c r="J8" s="22">
        <f>I8*(1-Drivers!J10)</f>
      </c>
      <c r="K8" s="22">
        <f>J8*(1-Drivers!K10)</f>
      </c>
      <c r="L8" s="22">
        <f>K8*(1-Drivers!L10)</f>
      </c>
      <c r="M8" s="22">
        <f>L8*(1-Drivers!M10)</f>
      </c>
      <c r="N8" s="22">
        <f>M8*(1-Drivers!N10)</f>
      </c>
      <c r="O8" s="22">
        <f>N8*(1-Drivers!O10)</f>
      </c>
      <c r="P8" s="22">
        <f>O8*(1-Drivers!P10)</f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</c>
      <c r="F9" s="22">
        <f>E9*(1-Drivers!F11)</f>
      </c>
      <c r="G9" s="22">
        <f>F9*(1-Drivers!G11)</f>
      </c>
      <c r="H9" s="22">
        <f>G9*(1-Drivers!H11)</f>
      </c>
      <c r="I9" s="22">
        <f>H9*(1-Drivers!I11)</f>
      </c>
      <c r="J9" s="22">
        <f>I9*(1-Drivers!J11)</f>
      </c>
      <c r="K9" s="22">
        <f>J9*(1-Drivers!K11)</f>
      </c>
      <c r="L9" s="22">
        <f>K9*(1-Drivers!L11)</f>
      </c>
      <c r="M9" s="22">
        <f>L9*(1-Drivers!M11)</f>
      </c>
      <c r="N9" s="22">
        <f>M9*(1-Drivers!N11)</f>
      </c>
      <c r="O9" s="22">
        <f>N9*(1-Drivers!O11)</f>
      </c>
      <c r="P9" s="22">
        <f>O9*(1-Drivers!P11)</f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</c>
      <c r="F10" s="22">
        <f>Drivers!F9</f>
      </c>
      <c r="G10" s="22">
        <f>F10*(1-Drivers!G11)</f>
      </c>
      <c r="H10" s="22">
        <f>G10*(1-Drivers!H11)</f>
      </c>
      <c r="I10" s="22">
        <f>H10*(1-Drivers!I11)</f>
      </c>
      <c r="J10" s="22">
        <f>I10*(1-Drivers!J11)</f>
      </c>
      <c r="K10" s="22">
        <f>J10*(1-Drivers!K11)</f>
      </c>
      <c r="L10" s="22">
        <f>K10*(1-Drivers!L11)</f>
      </c>
      <c r="M10" s="22">
        <f>L10*(1-Drivers!M11)</f>
      </c>
      <c r="N10" s="22">
        <f>M10*(1-Drivers!N11)</f>
      </c>
      <c r="O10" s="22">
        <f>N10*(1-Drivers!O11)</f>
      </c>
      <c r="P10" s="22">
        <f>O10*(1-Drivers!P11)</f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</c>
      <c r="F11" s="22">
        <f>0</f>
      </c>
      <c r="G11" s="22">
        <f>Drivers!G9</f>
      </c>
      <c r="H11" s="22">
        <f>G11*(1-Drivers!H11)</f>
      </c>
      <c r="I11" s="22">
        <f>H11*(1-Drivers!I11)</f>
      </c>
      <c r="J11" s="22">
        <f>I11*(1-Drivers!J11)</f>
      </c>
      <c r="K11" s="22">
        <f>J11*(1-Drivers!K11)</f>
      </c>
      <c r="L11" s="22">
        <f>K11*(1-Drivers!L11)</f>
      </c>
      <c r="M11" s="22">
        <f>L11*(1-Drivers!M11)</f>
      </c>
      <c r="N11" s="22">
        <f>M11*(1-Drivers!N11)</f>
      </c>
      <c r="O11" s="22">
        <f>N11*(1-Drivers!O11)</f>
      </c>
      <c r="P11" s="22">
        <f>O11*(1-Drivers!P11)</f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</c>
      <c r="F12" s="22">
        <f>0</f>
      </c>
      <c r="G12" s="22">
        <f>0</f>
      </c>
      <c r="H12" s="22">
        <f>Drivers!H9</f>
      </c>
      <c r="I12" s="22">
        <f>H12*(1-Drivers!I11)</f>
      </c>
      <c r="J12" s="22">
        <f>I12*(1-Drivers!J11)</f>
      </c>
      <c r="K12" s="22">
        <f>J12*(1-Drivers!K11)</f>
      </c>
      <c r="L12" s="22">
        <f>K12*(1-Drivers!L11)</f>
      </c>
      <c r="M12" s="22">
        <f>L12*(1-Drivers!M11)</f>
      </c>
      <c r="N12" s="22">
        <f>M12*(1-Drivers!N11)</f>
      </c>
      <c r="O12" s="22">
        <f>N12*(1-Drivers!O11)</f>
      </c>
      <c r="P12" s="22">
        <f>O12*(1-Drivers!P11)</f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</c>
      <c r="F13" s="22">
        <f>0</f>
      </c>
      <c r="G13" s="22">
        <f>0</f>
      </c>
      <c r="H13" s="22">
        <f>0</f>
      </c>
      <c r="I13" s="22">
        <f>Drivers!I9</f>
      </c>
      <c r="J13" s="22">
        <f>I13*(1-Drivers!J11)</f>
      </c>
      <c r="K13" s="22">
        <f>J13*(1-Drivers!K11)</f>
      </c>
      <c r="L13" s="22">
        <f>K13*(1-Drivers!L11)</f>
      </c>
      <c r="M13" s="22">
        <f>L13*(1-Drivers!M11)</f>
      </c>
      <c r="N13" s="22">
        <f>M13*(1-Drivers!N11)</f>
      </c>
      <c r="O13" s="22">
        <f>N13*(1-Drivers!O11)</f>
      </c>
      <c r="P13" s="22">
        <f>O13*(1-Drivers!P11)</f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</c>
      <c r="F14" s="22">
        <f>0</f>
      </c>
      <c r="G14" s="22">
        <f>0</f>
      </c>
      <c r="H14" s="22">
        <f>0</f>
      </c>
      <c r="I14" s="22">
        <f>0</f>
      </c>
      <c r="J14" s="22">
        <f>Drivers!J9</f>
      </c>
      <c r="K14" s="22">
        <f>J14*(1-Drivers!K11)</f>
      </c>
      <c r="L14" s="22">
        <f>K14*(1-Drivers!L11)</f>
      </c>
      <c r="M14" s="22">
        <f>L14*(1-Drivers!M11)</f>
      </c>
      <c r="N14" s="22">
        <f>M14*(1-Drivers!N11)</f>
      </c>
      <c r="O14" s="22">
        <f>N14*(1-Drivers!O11)</f>
      </c>
      <c r="P14" s="22">
        <f>O14*(1-Drivers!P11)</f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</c>
      <c r="F15" s="22">
        <f>0</f>
      </c>
      <c r="G15" s="22">
        <f>0</f>
      </c>
      <c r="H15" s="22">
        <f>0</f>
      </c>
      <c r="I15" s="22">
        <f>0</f>
      </c>
      <c r="J15" s="22">
        <f>0</f>
      </c>
      <c r="K15" s="22">
        <f>Drivers!K9</f>
      </c>
      <c r="L15" s="22">
        <f>K15*(1-Drivers!L11)</f>
      </c>
      <c r="M15" s="22">
        <f>L15*(1-Drivers!M11)</f>
      </c>
      <c r="N15" s="22">
        <f>M15*(1-Drivers!N11)</f>
      </c>
      <c r="O15" s="22">
        <f>N15*(1-Drivers!O11)</f>
      </c>
      <c r="P15" s="22">
        <f>O15*(1-Drivers!P11)</f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</c>
      <c r="F16" s="22">
        <f>0</f>
      </c>
      <c r="G16" s="22">
        <f>0</f>
      </c>
      <c r="H16" s="22">
        <f>0</f>
      </c>
      <c r="I16" s="22">
        <f>0</f>
      </c>
      <c r="J16" s="22">
        <f>0</f>
      </c>
      <c r="K16" s="22">
        <f>0</f>
      </c>
      <c r="L16" s="22">
        <f>Drivers!L9</f>
      </c>
      <c r="M16" s="22">
        <f>L16*(1-Drivers!M11)</f>
      </c>
      <c r="N16" s="22">
        <f>M16*(1-Drivers!N11)</f>
      </c>
      <c r="O16" s="22">
        <f>N16*(1-Drivers!O11)</f>
      </c>
      <c r="P16" s="22">
        <f>O16*(1-Drivers!P11)</f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</c>
      <c r="F17" s="22">
        <f>0</f>
      </c>
      <c r="G17" s="22">
        <f>0</f>
      </c>
      <c r="H17" s="22">
        <f>0</f>
      </c>
      <c r="I17" s="22">
        <f>0</f>
      </c>
      <c r="J17" s="22">
        <f>0</f>
      </c>
      <c r="K17" s="22">
        <f>0</f>
      </c>
      <c r="L17" s="22">
        <f>0</f>
      </c>
      <c r="M17" s="22">
        <f>Drivers!M9</f>
      </c>
      <c r="N17" s="22">
        <f>M17*(1-Drivers!N11)</f>
      </c>
      <c r="O17" s="22">
        <f>N17*(1-Drivers!O11)</f>
      </c>
      <c r="P17" s="22">
        <f>O17*(1-Drivers!P11)</f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</c>
      <c r="F18" s="22">
        <f>0</f>
      </c>
      <c r="G18" s="22">
        <f>0</f>
      </c>
      <c r="H18" s="22">
        <f>0</f>
      </c>
      <c r="I18" s="22">
        <f>0</f>
      </c>
      <c r="J18" s="22">
        <f>0</f>
      </c>
      <c r="K18" s="22">
        <f>0</f>
      </c>
      <c r="L18" s="22">
        <f>0</f>
      </c>
      <c r="M18" s="22">
        <f>0</f>
      </c>
      <c r="N18" s="22">
        <f>Drivers!N9</f>
      </c>
      <c r="O18" s="22">
        <f>N18*(1-Drivers!O11)</f>
      </c>
      <c r="P18" s="22">
        <f>O18*(1-Drivers!P11)</f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</c>
      <c r="F19" s="22">
        <f>0</f>
      </c>
      <c r="G19" s="22">
        <f>0</f>
      </c>
      <c r="H19" s="22">
        <f>0</f>
      </c>
      <c r="I19" s="22">
        <f>0</f>
      </c>
      <c r="J19" s="22">
        <f>0</f>
      </c>
      <c r="K19" s="22">
        <f>0</f>
      </c>
      <c r="L19" s="22">
        <f>0</f>
      </c>
      <c r="M19" s="22">
        <f>0</f>
      </c>
      <c r="N19" s="22">
        <f>0</f>
      </c>
      <c r="O19" s="22">
        <f>Drivers!O9</f>
      </c>
      <c r="P19" s="22">
        <f>O19*(1-Drivers!P11)</f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</c>
      <c r="F20" s="22">
        <f>0</f>
      </c>
      <c r="G20" s="22">
        <f>0</f>
      </c>
      <c r="H20" s="22">
        <f>0</f>
      </c>
      <c r="I20" s="22">
        <f>0</f>
      </c>
      <c r="J20" s="22">
        <f>0</f>
      </c>
      <c r="K20" s="22">
        <f>0</f>
      </c>
      <c r="L20" s="22">
        <f>0</f>
      </c>
      <c r="M20" s="22">
        <f>0</f>
      </c>
      <c r="N20" s="22">
        <f>0</f>
      </c>
      <c r="O20" s="22">
        <f>0</f>
      </c>
      <c r="P20" s="22">
        <f>Drivers!P9</f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</c>
      <c r="F25" s="23">
        <f>E25*(1-Drivers!F10)*(1+Drivers!F15)</f>
      </c>
      <c r="G25" s="23">
        <f>F25*(1-Drivers!G10)*(1+Drivers!G15)</f>
      </c>
      <c r="H25" s="23">
        <f>G25*(1-Drivers!H10)*(1+Drivers!H15)</f>
      </c>
      <c r="I25" s="23">
        <f>H25*(1-Drivers!I10)*(1+Drivers!I15)</f>
      </c>
      <c r="J25" s="23">
        <f>I25*(1-Drivers!J10)*(1+Drivers!J15)</f>
      </c>
      <c r="K25" s="23">
        <f>J25*(1-Drivers!K10)*(1+Drivers!K15)</f>
      </c>
      <c r="L25" s="23">
        <f>K25*(1-Drivers!L10)*(1+Drivers!L15)</f>
      </c>
      <c r="M25" s="23">
        <f>L25*(1-Drivers!M10)*(1+Drivers!M15)</f>
      </c>
      <c r="N25" s="23">
        <f>M25*(1-Drivers!N10)*(1+Drivers!N15)</f>
      </c>
      <c r="O25" s="23">
        <f>N25*(1-Drivers!O10)*(1+Drivers!O15)</f>
      </c>
      <c r="P25" s="23">
        <f>O25*(1-Drivers!P10)*(1+Drivers!P15)</f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</c>
      <c r="F26" s="23">
        <f>E26*(1-Drivers!F11)*(1+Drivers!F15)</f>
      </c>
      <c r="G26" s="23">
        <f>F26*(1-Drivers!G11)*(1+Drivers!G15)</f>
      </c>
      <c r="H26" s="23">
        <f>G26*(1-Drivers!H11)*(1+Drivers!H15)</f>
      </c>
      <c r="I26" s="23">
        <f>H26*(1-Drivers!I11)*(1+Drivers!I15)</f>
      </c>
      <c r="J26" s="23">
        <f>I26*(1-Drivers!J11)*(1+Drivers!J15)</f>
      </c>
      <c r="K26" s="23">
        <f>J26*(1-Drivers!K11)*(1+Drivers!K15)</f>
      </c>
      <c r="L26" s="23">
        <f>K26*(1-Drivers!L11)*(1+Drivers!L15)</f>
      </c>
      <c r="M26" s="23">
        <f>L26*(1-Drivers!M11)*(1+Drivers!M15)</f>
      </c>
      <c r="N26" s="23">
        <f>M26*(1-Drivers!N11)*(1+Drivers!N15)</f>
      </c>
      <c r="O26" s="23">
        <f>N26*(1-Drivers!O11)*(1+Drivers!O15)</f>
      </c>
      <c r="P26" s="23">
        <f>O26*(1-Drivers!P11)*(1+Drivers!P15)</f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</c>
      <c r="F27" s="23">
        <f>F10*Drivers!F14*(1+Drivers!F15)</f>
      </c>
      <c r="G27" s="23">
        <f>F27*(1-Drivers!G11)*(1+Drivers!G15)</f>
      </c>
      <c r="H27" s="23">
        <f>G27*(1-Drivers!H11)*(1+Drivers!H15)</f>
      </c>
      <c r="I27" s="23">
        <f>H27*(1-Drivers!I11)*(1+Drivers!I15)</f>
      </c>
      <c r="J27" s="23">
        <f>I27*(1-Drivers!J11)*(1+Drivers!J15)</f>
      </c>
      <c r="K27" s="23">
        <f>J27*(1-Drivers!K11)*(1+Drivers!K15)</f>
      </c>
      <c r="L27" s="23">
        <f>K27*(1-Drivers!L11)*(1+Drivers!L15)</f>
      </c>
      <c r="M27" s="23">
        <f>L27*(1-Drivers!M11)*(1+Drivers!M15)</f>
      </c>
      <c r="N27" s="23">
        <f>M27*(1-Drivers!N11)*(1+Drivers!N15)</f>
      </c>
      <c r="O27" s="23">
        <f>N27*(1-Drivers!O11)*(1+Drivers!O15)</f>
      </c>
      <c r="P27" s="23">
        <f>O27*(1-Drivers!P11)*(1+Drivers!P15)</f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</c>
      <c r="F28" s="23">
        <f>0</f>
      </c>
      <c r="G28" s="23">
        <f>G11*Drivers!G14*(1+Drivers!G15)</f>
      </c>
      <c r="H28" s="23">
        <f>G28*(1-Drivers!H11)*(1+Drivers!H15)</f>
      </c>
      <c r="I28" s="23">
        <f>H28*(1-Drivers!I11)*(1+Drivers!I15)</f>
      </c>
      <c r="J28" s="23">
        <f>I28*(1-Drivers!J11)*(1+Drivers!J15)</f>
      </c>
      <c r="K28" s="23">
        <f>J28*(1-Drivers!K11)*(1+Drivers!K15)</f>
      </c>
      <c r="L28" s="23">
        <f>K28*(1-Drivers!L11)*(1+Drivers!L15)</f>
      </c>
      <c r="M28" s="23">
        <f>L28*(1-Drivers!M11)*(1+Drivers!M15)</f>
      </c>
      <c r="N28" s="23">
        <f>M28*(1-Drivers!N11)*(1+Drivers!N15)</f>
      </c>
      <c r="O28" s="23">
        <f>N28*(1-Drivers!O11)*(1+Drivers!O15)</f>
      </c>
      <c r="P28" s="23">
        <f>O28*(1-Drivers!P11)*(1+Drivers!P15)</f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</c>
      <c r="F29" s="23">
        <f>0</f>
      </c>
      <c r="G29" s="23">
        <f>0</f>
      </c>
      <c r="H29" s="23">
        <f>H12*Drivers!H14*(1+Drivers!H15)</f>
      </c>
      <c r="I29" s="23">
        <f>H29*(1-Drivers!I11)*(1+Drivers!I15)</f>
      </c>
      <c r="J29" s="23">
        <f>I29*(1-Drivers!J11)*(1+Drivers!J15)</f>
      </c>
      <c r="K29" s="23">
        <f>J29*(1-Drivers!K11)*(1+Drivers!K15)</f>
      </c>
      <c r="L29" s="23">
        <f>K29*(1-Drivers!L11)*(1+Drivers!L15)</f>
      </c>
      <c r="M29" s="23">
        <f>L29*(1-Drivers!M11)*(1+Drivers!M15)</f>
      </c>
      <c r="N29" s="23">
        <f>M29*(1-Drivers!N11)*(1+Drivers!N15)</f>
      </c>
      <c r="O29" s="23">
        <f>N29*(1-Drivers!O11)*(1+Drivers!O15)</f>
      </c>
      <c r="P29" s="23">
        <f>O29*(1-Drivers!P11)*(1+Drivers!P15)</f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</c>
      <c r="F30" s="23">
        <f>0</f>
      </c>
      <c r="G30" s="23">
        <f>0</f>
      </c>
      <c r="H30" s="23">
        <f>0</f>
      </c>
      <c r="I30" s="23">
        <f>I13*Drivers!I14*(1+Drivers!I15)</f>
      </c>
      <c r="J30" s="23">
        <f>I30*(1-Drivers!J11)*(1+Drivers!J15)</f>
      </c>
      <c r="K30" s="23">
        <f>J30*(1-Drivers!K11)*(1+Drivers!K15)</f>
      </c>
      <c r="L30" s="23">
        <f>K30*(1-Drivers!L11)*(1+Drivers!L15)</f>
      </c>
      <c r="M30" s="23">
        <f>L30*(1-Drivers!M11)*(1+Drivers!M15)</f>
      </c>
      <c r="N30" s="23">
        <f>M30*(1-Drivers!N11)*(1+Drivers!N15)</f>
      </c>
      <c r="O30" s="23">
        <f>N30*(1-Drivers!O11)*(1+Drivers!O15)</f>
      </c>
      <c r="P30" s="23">
        <f>O30*(1-Drivers!P11)*(1+Drivers!P15)</f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</c>
      <c r="F31" s="23">
        <f>0</f>
      </c>
      <c r="G31" s="23">
        <f>0</f>
      </c>
      <c r="H31" s="23">
        <f>0</f>
      </c>
      <c r="I31" s="23">
        <f>0</f>
      </c>
      <c r="J31" s="23">
        <f>J14*Drivers!J14*(1+Drivers!J15)</f>
      </c>
      <c r="K31" s="23">
        <f>J31*(1-Drivers!K11)*(1+Drivers!K15)</f>
      </c>
      <c r="L31" s="23">
        <f>K31*(1-Drivers!L11)*(1+Drivers!L15)</f>
      </c>
      <c r="M31" s="23">
        <f>L31*(1-Drivers!M11)*(1+Drivers!M15)</f>
      </c>
      <c r="N31" s="23">
        <f>M31*(1-Drivers!N11)*(1+Drivers!N15)</f>
      </c>
      <c r="O31" s="23">
        <f>N31*(1-Drivers!O11)*(1+Drivers!O15)</f>
      </c>
      <c r="P31" s="23">
        <f>O31*(1-Drivers!P11)*(1+Drivers!P15)</f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</c>
      <c r="F32" s="23">
        <f>0</f>
      </c>
      <c r="G32" s="23">
        <f>0</f>
      </c>
      <c r="H32" s="23">
        <f>0</f>
      </c>
      <c r="I32" s="23">
        <f>0</f>
      </c>
      <c r="J32" s="23">
        <f>0</f>
      </c>
      <c r="K32" s="23">
        <f>K15*Drivers!K14*(1+Drivers!K15)</f>
      </c>
      <c r="L32" s="23">
        <f>K32*(1-Drivers!L11)*(1+Drivers!L15)</f>
      </c>
      <c r="M32" s="23">
        <f>L32*(1-Drivers!M11)*(1+Drivers!M15)</f>
      </c>
      <c r="N32" s="23">
        <f>M32*(1-Drivers!N11)*(1+Drivers!N15)</f>
      </c>
      <c r="O32" s="23">
        <f>N32*(1-Drivers!O11)*(1+Drivers!O15)</f>
      </c>
      <c r="P32" s="23">
        <f>O32*(1-Drivers!P11)*(1+Drivers!P15)</f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</c>
      <c r="F33" s="23">
        <f>0</f>
      </c>
      <c r="G33" s="23">
        <f>0</f>
      </c>
      <c r="H33" s="23">
        <f>0</f>
      </c>
      <c r="I33" s="23">
        <f>0</f>
      </c>
      <c r="J33" s="23">
        <f>0</f>
      </c>
      <c r="K33" s="23">
        <f>0</f>
      </c>
      <c r="L33" s="23">
        <f>L16*Drivers!L14*(1+Drivers!L15)</f>
      </c>
      <c r="M33" s="23">
        <f>L33*(1-Drivers!M11)*(1+Drivers!M15)</f>
      </c>
      <c r="N33" s="23">
        <f>M33*(1-Drivers!N11)*(1+Drivers!N15)</f>
      </c>
      <c r="O33" s="23">
        <f>N33*(1-Drivers!O11)*(1+Drivers!O15)</f>
      </c>
      <c r="P33" s="23">
        <f>O33*(1-Drivers!P11)*(1+Drivers!P15)</f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</c>
      <c r="F34" s="23">
        <f>0</f>
      </c>
      <c r="G34" s="23">
        <f>0</f>
      </c>
      <c r="H34" s="23">
        <f>0</f>
      </c>
      <c r="I34" s="23">
        <f>0</f>
      </c>
      <c r="J34" s="23">
        <f>0</f>
      </c>
      <c r="K34" s="23">
        <f>0</f>
      </c>
      <c r="L34" s="23">
        <f>0</f>
      </c>
      <c r="M34" s="23">
        <f>M17*Drivers!M14*(1+Drivers!M15)</f>
      </c>
      <c r="N34" s="23">
        <f>M34*(1-Drivers!N11)*(1+Drivers!N15)</f>
      </c>
      <c r="O34" s="23">
        <f>N34*(1-Drivers!O11)*(1+Drivers!O15)</f>
      </c>
      <c r="P34" s="23">
        <f>O34*(1-Drivers!P11)*(1+Drivers!P15)</f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</c>
      <c r="F35" s="23">
        <f>0</f>
      </c>
      <c r="G35" s="23">
        <f>0</f>
      </c>
      <c r="H35" s="23">
        <f>0</f>
      </c>
      <c r="I35" s="23">
        <f>0</f>
      </c>
      <c r="J35" s="23">
        <f>0</f>
      </c>
      <c r="K35" s="23">
        <f>0</f>
      </c>
      <c r="L35" s="23">
        <f>0</f>
      </c>
      <c r="M35" s="23">
        <f>0</f>
      </c>
      <c r="N35" s="23">
        <f>N18*Drivers!N14*(1+Drivers!N15)</f>
      </c>
      <c r="O35" s="23">
        <f>N35*(1-Drivers!O11)*(1+Drivers!O15)</f>
      </c>
      <c r="P35" s="23">
        <f>O35*(1-Drivers!P11)*(1+Drivers!P15)</f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</c>
      <c r="F36" s="23">
        <f>0</f>
      </c>
      <c r="G36" s="23">
        <f>0</f>
      </c>
      <c r="H36" s="23">
        <f>0</f>
      </c>
      <c r="I36" s="23">
        <f>0</f>
      </c>
      <c r="J36" s="23">
        <f>0</f>
      </c>
      <c r="K36" s="23">
        <f>0</f>
      </c>
      <c r="L36" s="23">
        <f>0</f>
      </c>
      <c r="M36" s="23">
        <f>0</f>
      </c>
      <c r="N36" s="23">
        <f>0</f>
      </c>
      <c r="O36" s="23">
        <f>O19*Drivers!O14*(1+Drivers!O15)</f>
      </c>
      <c r="P36" s="23">
        <f>O36*(1-Drivers!P11)*(1+Drivers!P15)</f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</c>
      <c r="F37" s="23">
        <f>0</f>
      </c>
      <c r="G37" s="23">
        <f>0</f>
      </c>
      <c r="H37" s="23">
        <f>0</f>
      </c>
      <c r="I37" s="23">
        <f>0</f>
      </c>
      <c r="J37" s="23">
        <f>0</f>
      </c>
      <c r="K37" s="23">
        <f>0</f>
      </c>
      <c r="L37" s="23">
        <f>0</f>
      </c>
      <c r="M37" s="23">
        <f>0</f>
      </c>
      <c r="N37" s="23">
        <f>0</f>
      </c>
      <c r="O37" s="23">
        <f>0</f>
      </c>
      <c r="P37" s="23">
        <f>P20*Drivers!P14*(1+Drivers!P15)</f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</c>
      <c r="F6" s="23">
        <f>Cohorts!F38</f>
      </c>
      <c r="G6" s="23">
        <f>Cohorts!G38</f>
      </c>
      <c r="H6" s="23">
        <f>Cohorts!H38</f>
      </c>
      <c r="I6" s="23">
        <f>Cohorts!I38</f>
      </c>
      <c r="J6" s="23">
        <f>Cohorts!J38</f>
      </c>
      <c r="K6" s="23">
        <f>Cohorts!K38</f>
      </c>
      <c r="L6" s="23">
        <f>Cohorts!L38</f>
      </c>
      <c r="M6" s="23">
        <f>Cohorts!M38</f>
      </c>
      <c r="N6" s="23">
        <f>Cohorts!N38</f>
      </c>
      <c r="O6" s="23">
        <f>Cohorts!O38</f>
      </c>
      <c r="P6" s="23">
        <f>Cohorts!P38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</c>
      <c r="F8" s="23">
        <f>Cohorts!F38</f>
      </c>
      <c r="G8" s="23">
        <f>Cohorts!G38</f>
      </c>
      <c r="H8" s="23">
        <f>Cohorts!H38</f>
      </c>
      <c r="I8" s="23">
        <f>Cohorts!I38</f>
      </c>
      <c r="J8" s="23">
        <f>Cohorts!J38</f>
      </c>
      <c r="K8" s="23">
        <f>Cohorts!K38</f>
      </c>
      <c r="L8" s="23">
        <f>Cohorts!L38</f>
      </c>
      <c r="M8" s="23">
        <f>Cohorts!M38</f>
      </c>
      <c r="N8" s="23">
        <f>Cohorts!N38</f>
      </c>
      <c r="O8" s="23">
        <f>Cohorts!O38</f>
      </c>
      <c r="P8" s="23">
        <f>Cohorts!P38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</c>
      <c r="F9" s="22">
        <f>Cohorts!F21</f>
      </c>
      <c r="G9" s="22">
        <f>Cohorts!G21</f>
      </c>
      <c r="H9" s="22">
        <f>Cohorts!H21</f>
      </c>
      <c r="I9" s="22">
        <f>Cohorts!I21</f>
      </c>
      <c r="J9" s="22">
        <f>Cohorts!J21</f>
      </c>
      <c r="K9" s="22">
        <f>Cohorts!K21</f>
      </c>
      <c r="L9" s="22">
        <f>Cohorts!L21</f>
      </c>
      <c r="M9" s="22">
        <f>Cohorts!M21</f>
      </c>
      <c r="N9" s="22">
        <f>Cohorts!N21</f>
      </c>
      <c r="O9" s="22">
        <f>Cohorts!O21</f>
      </c>
      <c r="P9" s="22">
        <f>Cohorts!P21</f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</c>
      <c r="F10" s="23">
        <f>F6/F9</f>
      </c>
      <c r="G10" s="23">
        <f>G6/G9</f>
      </c>
      <c r="H10" s="23">
        <f>H6/H9</f>
      </c>
      <c r="I10" s="23">
        <f>I6/I9</f>
      </c>
      <c r="J10" s="23">
        <f>J6/J9</f>
      </c>
      <c r="K10" s="23">
        <f>K6/K9</f>
      </c>
      <c r="L10" s="23">
        <f>L6/L9</f>
      </c>
      <c r="M10" s="23">
        <f>M6/M9</f>
      </c>
      <c r="N10" s="23">
        <f>N6/N9</f>
      </c>
      <c r="O10" s="23">
        <f>O6/O9</f>
      </c>
      <c r="P10" s="23">
        <f>P6/P9</f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</c>
      <c r="F14" s="23">
        <f>Revenue!F6-Cohorts!F38</f>
      </c>
      <c r="G14" s="23">
        <f>Revenue!G6-Cohorts!G38</f>
      </c>
      <c r="H14" s="23">
        <f>Revenue!H6-Cohorts!H38</f>
      </c>
      <c r="I14" s="23">
        <f>Revenue!I6-Cohorts!I38</f>
      </c>
      <c r="J14" s="23">
        <f>Revenue!J6-Cohorts!J38</f>
      </c>
      <c r="K14" s="23">
        <f>Revenue!K6-Cohorts!K38</f>
      </c>
      <c r="L14" s="23">
        <f>Revenue!L6-Cohorts!L38</f>
      </c>
      <c r="M14" s="23">
        <f>Revenue!M6-Cohorts!M38</f>
      </c>
      <c r="N14" s="23">
        <f>Revenue!N6-Cohorts!N38</f>
      </c>
      <c r="O14" s="23">
        <f>Revenue!O6-Cohorts!O38</f>
      </c>
      <c r="P14" s="23">
        <f>Revenue!P6-Cohorts!P38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</c>
      <c r="F15" s="23">
        <f>Revenue!F9-Cohorts!F21</f>
      </c>
      <c r="G15" s="23">
        <f>Revenue!G9-Cohorts!G21</f>
      </c>
      <c r="H15" s="23">
        <f>Revenue!H9-Cohorts!H21</f>
      </c>
      <c r="I15" s="23">
        <f>Revenue!I9-Cohorts!I21</f>
      </c>
      <c r="J15" s="23">
        <f>Revenue!J9-Cohorts!J21</f>
      </c>
      <c r="K15" s="23">
        <f>Revenue!K9-Cohorts!K21</f>
      </c>
      <c r="L15" s="23">
        <f>Revenue!L9-Cohorts!L21</f>
      </c>
      <c r="M15" s="23">
        <f>Revenue!M9-Cohorts!M21</f>
      </c>
      <c r="N15" s="23">
        <f>Revenue!N9-Cohorts!N21</f>
      </c>
      <c r="O15" s="23">
        <f>Revenue!O9-Cohorts!O21</f>
      </c>
      <c r="P15" s="23">
        <f>Revenue!P9-Cohorts!P21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